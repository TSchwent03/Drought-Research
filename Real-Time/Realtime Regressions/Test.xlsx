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thoma\Documents\GitHub\Drought-Research\Real-Time\Realtime Regressions\"/>
    </mc:Choice>
  </mc:AlternateContent>
  <xr:revisionPtr revIDLastSave="0" documentId="13_ncr:1_{18573D61-AA68-4E90-9697-B4F16B220FF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heet2" sheetId="2" r:id="rId1"/>
    <sheet name="1M Test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E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" i="1"/>
  <c r="AA2" i="1" l="1" a="1"/>
  <c r="AA2" i="1" s="1"/>
  <c r="R2" i="1" a="1"/>
  <c r="R2" i="1" s="1"/>
  <c r="N2" i="1" a="1"/>
  <c r="N2" i="1" s="1"/>
  <c r="V2" i="1" a="1"/>
  <c r="V2" i="1" s="1"/>
  <c r="G2" i="1" a="1"/>
  <c r="G2" i="1" s="1"/>
  <c r="I2" i="1" a="1"/>
  <c r="I2" i="1" s="1"/>
  <c r="P2" i="1" a="1"/>
  <c r="P2" i="1" s="1"/>
  <c r="X2" i="1" a="1"/>
  <c r="X2" i="1" s="1"/>
  <c r="K2" i="1" a="1"/>
  <c r="K2" i="1" s="1"/>
  <c r="O2" i="1" a="1"/>
  <c r="O2" i="1" s="1"/>
  <c r="S2" i="1" a="1"/>
  <c r="S2" i="1" s="1"/>
  <c r="F2" i="1" a="1"/>
  <c r="F2" i="1" s="1"/>
  <c r="U2" i="1" a="1"/>
  <c r="U2" i="1" s="1"/>
  <c r="Z2" i="1" a="1"/>
  <c r="Z2" i="1" s="1"/>
  <c r="M2" i="1" a="1"/>
  <c r="M2" i="1" s="1"/>
  <c r="H2" i="1" a="1"/>
  <c r="H2" i="1" s="1"/>
  <c r="W2" i="1" a="1"/>
  <c r="W2" i="1" s="1"/>
  <c r="T2" i="1" a="1"/>
  <c r="T2" i="1" s="1"/>
  <c r="AB2" i="1" a="1"/>
  <c r="AB2" i="1" s="1"/>
  <c r="Q2" i="1" a="1"/>
  <c r="Q2" i="1" s="1"/>
  <c r="J2" i="1" a="1"/>
  <c r="J2" i="1" s="1"/>
  <c r="Y2" i="1" a="1"/>
  <c r="Y2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<sst xmlns="http://schemas.openxmlformats.org/spreadsheetml/2006/main" count="28" uniqueCount="16">
  <si>
    <t>Date</t>
  </si>
  <si>
    <t>Precip</t>
  </si>
  <si>
    <t>SPI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</si>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</sst>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Test'!$F$1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0.14564479440069991"/>
                  <c:y val="-0.22721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Test'!$E$2:$E$26</c:f>
              <c:numCache>
                <c:formatCode>General</c:formatCode>
                <c:ptCount val="25"/>
                <c:pt idx="0">
                  <c:v>0.08</c:v>
                </c:pt>
                <c:pt idx="1">
                  <c:v>2.1</c:v>
                </c:pt>
                <c:pt idx="2">
                  <c:v>0.13</c:v>
                </c:pt>
                <c:pt idx="3">
                  <c:v>0.13</c:v>
                </c:pt>
                <c:pt idx="4">
                  <c:v>0.47</c:v>
                </c:pt>
                <c:pt idx="5">
                  <c:v>1.02</c:v>
                </c:pt>
                <c:pt idx="6">
                  <c:v>0.89</c:v>
                </c:pt>
                <c:pt idx="7">
                  <c:v>0.35</c:v>
                </c:pt>
                <c:pt idx="8">
                  <c:v>0.39</c:v>
                </c:pt>
                <c:pt idx="9">
                  <c:v>0.03</c:v>
                </c:pt>
                <c:pt idx="10">
                  <c:v>0.37</c:v>
                </c:pt>
                <c:pt idx="11">
                  <c:v>0.3</c:v>
                </c:pt>
                <c:pt idx="12">
                  <c:v>0.28999999999999998</c:v>
                </c:pt>
                <c:pt idx="13">
                  <c:v>1.02</c:v>
                </c:pt>
                <c:pt idx="14">
                  <c:v>0.06</c:v>
                </c:pt>
                <c:pt idx="15">
                  <c:v>0.52</c:v>
                </c:pt>
                <c:pt idx="16">
                  <c:v>0.7</c:v>
                </c:pt>
                <c:pt idx="17">
                  <c:v>1.03</c:v>
                </c:pt>
                <c:pt idx="18">
                  <c:v>0.45</c:v>
                </c:pt>
                <c:pt idx="19">
                  <c:v>0.69</c:v>
                </c:pt>
                <c:pt idx="20">
                  <c:v>1.64</c:v>
                </c:pt>
                <c:pt idx="21">
                  <c:v>1.45</c:v>
                </c:pt>
                <c:pt idx="22">
                  <c:v>0.62</c:v>
                </c:pt>
                <c:pt idx="23">
                  <c:v>1.06</c:v>
                </c:pt>
                <c:pt idx="24">
                  <c:v>0.87</c:v>
                </c:pt>
              </c:numCache>
            </c:numRef>
          </c:xVal>
          <c:yVal>
            <c:numRef>
              <c:f>'1M Test'!$F$2:$F$26</c:f>
              <c:numCache>
                <c:formatCode>General</c:formatCode>
                <c:ptCount val="25"/>
                <c:pt idx="0">
                  <c:v>-1.54</c:v>
                </c:pt>
                <c:pt idx="1">
                  <c:v>1.92</c:v>
                </c:pt>
                <c:pt idx="2">
                  <c:v>-1.2</c:v>
                </c:pt>
                <c:pt idx="3">
                  <c:v>-1.2</c:v>
                </c:pt>
                <c:pt idx="4">
                  <c:v>-0.09</c:v>
                </c:pt>
                <c:pt idx="5">
                  <c:v>0.82</c:v>
                </c:pt>
                <c:pt idx="6">
                  <c:v>0.64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-2.12</c:v>
                </c:pt>
                <c:pt idx="10">
                  <c:v>-0.33</c:v>
                </c:pt>
                <c:pt idx="11">
                  <c:v>-0.53</c:v>
                </c:pt>
                <c:pt idx="12">
                  <c:v>-0.56000000000000005</c:v>
                </c:pt>
                <c:pt idx="13">
                  <c:v>0.82</c:v>
                </c:pt>
                <c:pt idx="14">
                  <c:v>-1.72</c:v>
                </c:pt>
                <c:pt idx="15">
                  <c:v>0.01</c:v>
                </c:pt>
                <c:pt idx="16">
                  <c:v>0.34</c:v>
                </c:pt>
                <c:pt idx="17">
                  <c:v>0.83</c:v>
                </c:pt>
                <c:pt idx="18">
                  <c:v>-0.14000000000000001</c:v>
                </c:pt>
                <c:pt idx="19">
                  <c:v>0.33</c:v>
                </c:pt>
                <c:pt idx="20">
                  <c:v>1.51</c:v>
                </c:pt>
                <c:pt idx="21">
                  <c:v>1.32</c:v>
                </c:pt>
                <c:pt idx="22">
                  <c:v>0.2</c:v>
                </c:pt>
                <c:pt idx="23">
                  <c:v>0.87</c:v>
                </c:pt>
                <c:pt idx="24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15F-9FEE-633AD1AA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1696"/>
        <c:axId val="114331216"/>
      </c:scatterChart>
      <c:valAx>
        <c:axId val="1143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216"/>
        <c:crosses val="autoZero"/>
        <c:crossBetween val="midCat"/>
      </c:valAx>
      <c:valAx>
        <c:axId val="114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Test'!$F$1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0.14564479440069991"/>
                  <c:y val="-0.22721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Test'!$E$2:$E$26</c:f>
              <c:numCache>
                <c:formatCode>General</c:formatCode>
                <c:ptCount val="25"/>
                <c:pt idx="0">
                  <c:v>0.08</c:v>
                </c:pt>
                <c:pt idx="1">
                  <c:v>2.1</c:v>
                </c:pt>
                <c:pt idx="2">
                  <c:v>0.13</c:v>
                </c:pt>
                <c:pt idx="3">
                  <c:v>0.13</c:v>
                </c:pt>
                <c:pt idx="4">
                  <c:v>0.47</c:v>
                </c:pt>
                <c:pt idx="5">
                  <c:v>1.02</c:v>
                </c:pt>
                <c:pt idx="6">
                  <c:v>0.89</c:v>
                </c:pt>
                <c:pt idx="7">
                  <c:v>0.35</c:v>
                </c:pt>
                <c:pt idx="8">
                  <c:v>0.39</c:v>
                </c:pt>
                <c:pt idx="9">
                  <c:v>0.03</c:v>
                </c:pt>
                <c:pt idx="10">
                  <c:v>0.37</c:v>
                </c:pt>
                <c:pt idx="11">
                  <c:v>0.3</c:v>
                </c:pt>
                <c:pt idx="12">
                  <c:v>0.28999999999999998</c:v>
                </c:pt>
                <c:pt idx="13">
                  <c:v>1.02</c:v>
                </c:pt>
                <c:pt idx="14">
                  <c:v>0.06</c:v>
                </c:pt>
                <c:pt idx="15">
                  <c:v>0.52</c:v>
                </c:pt>
                <c:pt idx="16">
                  <c:v>0.7</c:v>
                </c:pt>
                <c:pt idx="17">
                  <c:v>1.03</c:v>
                </c:pt>
                <c:pt idx="18">
                  <c:v>0.45</c:v>
                </c:pt>
                <c:pt idx="19">
                  <c:v>0.69</c:v>
                </c:pt>
                <c:pt idx="20">
                  <c:v>1.64</c:v>
                </c:pt>
                <c:pt idx="21">
                  <c:v>1.45</c:v>
                </c:pt>
                <c:pt idx="22">
                  <c:v>0.62</c:v>
                </c:pt>
                <c:pt idx="23">
                  <c:v>1.06</c:v>
                </c:pt>
                <c:pt idx="24">
                  <c:v>0.87</c:v>
                </c:pt>
              </c:numCache>
            </c:numRef>
          </c:xVal>
          <c:yVal>
            <c:numRef>
              <c:f>'1M Test'!$F$2:$F$26</c:f>
              <c:numCache>
                <c:formatCode>General</c:formatCode>
                <c:ptCount val="25"/>
                <c:pt idx="0">
                  <c:v>-1.54</c:v>
                </c:pt>
                <c:pt idx="1">
                  <c:v>1.92</c:v>
                </c:pt>
                <c:pt idx="2">
                  <c:v>-1.2</c:v>
                </c:pt>
                <c:pt idx="3">
                  <c:v>-1.2</c:v>
                </c:pt>
                <c:pt idx="4">
                  <c:v>-0.09</c:v>
                </c:pt>
                <c:pt idx="5">
                  <c:v>0.82</c:v>
                </c:pt>
                <c:pt idx="6">
                  <c:v>0.64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-2.12</c:v>
                </c:pt>
                <c:pt idx="10">
                  <c:v>-0.33</c:v>
                </c:pt>
                <c:pt idx="11">
                  <c:v>-0.53</c:v>
                </c:pt>
                <c:pt idx="12">
                  <c:v>-0.56000000000000005</c:v>
                </c:pt>
                <c:pt idx="13">
                  <c:v>0.82</c:v>
                </c:pt>
                <c:pt idx="14">
                  <c:v>-1.72</c:v>
                </c:pt>
                <c:pt idx="15">
                  <c:v>0.01</c:v>
                </c:pt>
                <c:pt idx="16">
                  <c:v>0.34</c:v>
                </c:pt>
                <c:pt idx="17">
                  <c:v>0.83</c:v>
                </c:pt>
                <c:pt idx="18">
                  <c:v>-0.14000000000000001</c:v>
                </c:pt>
                <c:pt idx="19">
                  <c:v>0.33</c:v>
                </c:pt>
                <c:pt idx="20">
                  <c:v>1.51</c:v>
                </c:pt>
                <c:pt idx="21">
                  <c:v>1.32</c:v>
                </c:pt>
                <c:pt idx="22">
                  <c:v>0.2</c:v>
                </c:pt>
                <c:pt idx="23">
                  <c:v>0.87</c:v>
                </c:pt>
                <c:pt idx="24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15F-9FEE-633AD1AA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1696"/>
        <c:axId val="114331216"/>
      </c:scatterChart>
      <c:valAx>
        <c:axId val="1143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216"/>
        <c:crosses val="autoZero"/>
        <c:crossBetween val="midCat"/>
      </c:valAx>
      <c:valAx>
        <c:axId val="114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Test'!$F$1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14564479440069991"/>
                  <c:y val="-0.22721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Test'!$E$2:$E$26</c:f>
              <c:numCache>
                <c:formatCode>General</c:formatCode>
                <c:ptCount val="25"/>
                <c:pt idx="0">
                  <c:v>0.08</c:v>
                </c:pt>
                <c:pt idx="1">
                  <c:v>2.1</c:v>
                </c:pt>
                <c:pt idx="2">
                  <c:v>0.13</c:v>
                </c:pt>
                <c:pt idx="3">
                  <c:v>0.13</c:v>
                </c:pt>
                <c:pt idx="4">
                  <c:v>0.47</c:v>
                </c:pt>
                <c:pt idx="5">
                  <c:v>1.02</c:v>
                </c:pt>
                <c:pt idx="6">
                  <c:v>0.89</c:v>
                </c:pt>
                <c:pt idx="7">
                  <c:v>0.35</c:v>
                </c:pt>
                <c:pt idx="8">
                  <c:v>0.39</c:v>
                </c:pt>
                <c:pt idx="9">
                  <c:v>0.03</c:v>
                </c:pt>
                <c:pt idx="10">
                  <c:v>0.37</c:v>
                </c:pt>
                <c:pt idx="11">
                  <c:v>0.3</c:v>
                </c:pt>
                <c:pt idx="12">
                  <c:v>0.28999999999999998</c:v>
                </c:pt>
                <c:pt idx="13">
                  <c:v>1.02</c:v>
                </c:pt>
                <c:pt idx="14">
                  <c:v>0.06</c:v>
                </c:pt>
                <c:pt idx="15">
                  <c:v>0.52</c:v>
                </c:pt>
                <c:pt idx="16">
                  <c:v>0.7</c:v>
                </c:pt>
                <c:pt idx="17">
                  <c:v>1.03</c:v>
                </c:pt>
                <c:pt idx="18">
                  <c:v>0.45</c:v>
                </c:pt>
                <c:pt idx="19">
                  <c:v>0.69</c:v>
                </c:pt>
                <c:pt idx="20">
                  <c:v>1.64</c:v>
                </c:pt>
                <c:pt idx="21">
                  <c:v>1.45</c:v>
                </c:pt>
                <c:pt idx="22">
                  <c:v>0.62</c:v>
                </c:pt>
                <c:pt idx="23">
                  <c:v>1.06</c:v>
                </c:pt>
                <c:pt idx="24">
                  <c:v>0.87</c:v>
                </c:pt>
              </c:numCache>
            </c:numRef>
          </c:xVal>
          <c:yVal>
            <c:numRef>
              <c:f>'1M Test'!$F$2:$F$26</c:f>
              <c:numCache>
                <c:formatCode>General</c:formatCode>
                <c:ptCount val="25"/>
                <c:pt idx="0">
                  <c:v>-1.54</c:v>
                </c:pt>
                <c:pt idx="1">
                  <c:v>1.92</c:v>
                </c:pt>
                <c:pt idx="2">
                  <c:v>-1.2</c:v>
                </c:pt>
                <c:pt idx="3">
                  <c:v>-1.2</c:v>
                </c:pt>
                <c:pt idx="4">
                  <c:v>-0.09</c:v>
                </c:pt>
                <c:pt idx="5">
                  <c:v>0.82</c:v>
                </c:pt>
                <c:pt idx="6">
                  <c:v>0.64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-2.12</c:v>
                </c:pt>
                <c:pt idx="10">
                  <c:v>-0.33</c:v>
                </c:pt>
                <c:pt idx="11">
                  <c:v>-0.53</c:v>
                </c:pt>
                <c:pt idx="12">
                  <c:v>-0.56000000000000005</c:v>
                </c:pt>
                <c:pt idx="13">
                  <c:v>0.82</c:v>
                </c:pt>
                <c:pt idx="14">
                  <c:v>-1.72</c:v>
                </c:pt>
                <c:pt idx="15">
                  <c:v>0.01</c:v>
                </c:pt>
                <c:pt idx="16">
                  <c:v>0.34</c:v>
                </c:pt>
                <c:pt idx="17">
                  <c:v>0.83</c:v>
                </c:pt>
                <c:pt idx="18">
                  <c:v>-0.14000000000000001</c:v>
                </c:pt>
                <c:pt idx="19">
                  <c:v>0.33</c:v>
                </c:pt>
                <c:pt idx="20">
                  <c:v>1.51</c:v>
                </c:pt>
                <c:pt idx="21">
                  <c:v>1.32</c:v>
                </c:pt>
                <c:pt idx="22">
                  <c:v>0.2</c:v>
                </c:pt>
                <c:pt idx="23">
                  <c:v>0.87</c:v>
                </c:pt>
                <c:pt idx="24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15F-9FEE-633AD1AA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1696"/>
        <c:axId val="114331216"/>
      </c:scatterChart>
      <c:valAx>
        <c:axId val="1143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216"/>
        <c:crosses val="autoZero"/>
        <c:crossBetween val="midCat"/>
      </c:valAx>
      <c:valAx>
        <c:axId val="114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Test'!$F$1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forward val="1"/>
            <c:backward val="1"/>
            <c:dispRSqr val="0"/>
            <c:dispEq val="1"/>
            <c:trendlineLbl>
              <c:layout>
                <c:manualLayout>
                  <c:x val="0.14564479440069991"/>
                  <c:y val="-0.22721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Test'!$E$2:$E$26</c:f>
              <c:numCache>
                <c:formatCode>General</c:formatCode>
                <c:ptCount val="25"/>
                <c:pt idx="0">
                  <c:v>0.08</c:v>
                </c:pt>
                <c:pt idx="1">
                  <c:v>2.1</c:v>
                </c:pt>
                <c:pt idx="2">
                  <c:v>0.13</c:v>
                </c:pt>
                <c:pt idx="3">
                  <c:v>0.13</c:v>
                </c:pt>
                <c:pt idx="4">
                  <c:v>0.47</c:v>
                </c:pt>
                <c:pt idx="5">
                  <c:v>1.02</c:v>
                </c:pt>
                <c:pt idx="6">
                  <c:v>0.89</c:v>
                </c:pt>
                <c:pt idx="7">
                  <c:v>0.35</c:v>
                </c:pt>
                <c:pt idx="8">
                  <c:v>0.39</c:v>
                </c:pt>
                <c:pt idx="9">
                  <c:v>0.03</c:v>
                </c:pt>
                <c:pt idx="10">
                  <c:v>0.37</c:v>
                </c:pt>
                <c:pt idx="11">
                  <c:v>0.3</c:v>
                </c:pt>
                <c:pt idx="12">
                  <c:v>0.28999999999999998</c:v>
                </c:pt>
                <c:pt idx="13">
                  <c:v>1.02</c:v>
                </c:pt>
                <c:pt idx="14">
                  <c:v>0.06</c:v>
                </c:pt>
                <c:pt idx="15">
                  <c:v>0.52</c:v>
                </c:pt>
                <c:pt idx="16">
                  <c:v>0.7</c:v>
                </c:pt>
                <c:pt idx="17">
                  <c:v>1.03</c:v>
                </c:pt>
                <c:pt idx="18">
                  <c:v>0.45</c:v>
                </c:pt>
                <c:pt idx="19">
                  <c:v>0.69</c:v>
                </c:pt>
                <c:pt idx="20">
                  <c:v>1.64</c:v>
                </c:pt>
                <c:pt idx="21">
                  <c:v>1.45</c:v>
                </c:pt>
                <c:pt idx="22">
                  <c:v>0.62</c:v>
                </c:pt>
                <c:pt idx="23">
                  <c:v>1.06</c:v>
                </c:pt>
                <c:pt idx="24">
                  <c:v>0.87</c:v>
                </c:pt>
              </c:numCache>
            </c:numRef>
          </c:xVal>
          <c:yVal>
            <c:numRef>
              <c:f>'1M Test'!$F$2:$F$26</c:f>
              <c:numCache>
                <c:formatCode>General</c:formatCode>
                <c:ptCount val="25"/>
                <c:pt idx="0">
                  <c:v>-1.54</c:v>
                </c:pt>
                <c:pt idx="1">
                  <c:v>1.92</c:v>
                </c:pt>
                <c:pt idx="2">
                  <c:v>-1.2</c:v>
                </c:pt>
                <c:pt idx="3">
                  <c:v>-1.2</c:v>
                </c:pt>
                <c:pt idx="4">
                  <c:v>-0.09</c:v>
                </c:pt>
                <c:pt idx="5">
                  <c:v>0.82</c:v>
                </c:pt>
                <c:pt idx="6">
                  <c:v>0.64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-2.12</c:v>
                </c:pt>
                <c:pt idx="10">
                  <c:v>-0.33</c:v>
                </c:pt>
                <c:pt idx="11">
                  <c:v>-0.53</c:v>
                </c:pt>
                <c:pt idx="12">
                  <c:v>-0.56000000000000005</c:v>
                </c:pt>
                <c:pt idx="13">
                  <c:v>0.82</c:v>
                </c:pt>
                <c:pt idx="14">
                  <c:v>-1.72</c:v>
                </c:pt>
                <c:pt idx="15">
                  <c:v>0.01</c:v>
                </c:pt>
                <c:pt idx="16">
                  <c:v>0.34</c:v>
                </c:pt>
                <c:pt idx="17">
                  <c:v>0.83</c:v>
                </c:pt>
                <c:pt idx="18">
                  <c:v>-0.14000000000000001</c:v>
                </c:pt>
                <c:pt idx="19">
                  <c:v>0.33</c:v>
                </c:pt>
                <c:pt idx="20">
                  <c:v>1.51</c:v>
                </c:pt>
                <c:pt idx="21">
                  <c:v>1.32</c:v>
                </c:pt>
                <c:pt idx="22">
                  <c:v>0.2</c:v>
                </c:pt>
                <c:pt idx="23">
                  <c:v>0.87</c:v>
                </c:pt>
                <c:pt idx="24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15F-9FEE-633AD1AA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1696"/>
        <c:axId val="114331216"/>
      </c:scatterChart>
      <c:valAx>
        <c:axId val="1143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216"/>
        <c:crosses val="autoZero"/>
        <c:crossBetween val="midCat"/>
      </c:valAx>
      <c:valAx>
        <c:axId val="114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Test'!$F$1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forward val="1"/>
            <c:backward val="1"/>
            <c:dispRSqr val="0"/>
            <c:dispEq val="1"/>
            <c:trendlineLbl>
              <c:layout>
                <c:manualLayout>
                  <c:x val="0.14564479440069991"/>
                  <c:y val="-0.22721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Test'!$E$2:$E$26</c:f>
              <c:numCache>
                <c:formatCode>General</c:formatCode>
                <c:ptCount val="25"/>
                <c:pt idx="0">
                  <c:v>0.08</c:v>
                </c:pt>
                <c:pt idx="1">
                  <c:v>2.1</c:v>
                </c:pt>
                <c:pt idx="2">
                  <c:v>0.13</c:v>
                </c:pt>
                <c:pt idx="3">
                  <c:v>0.13</c:v>
                </c:pt>
                <c:pt idx="4">
                  <c:v>0.47</c:v>
                </c:pt>
                <c:pt idx="5">
                  <c:v>1.02</c:v>
                </c:pt>
                <c:pt idx="6">
                  <c:v>0.89</c:v>
                </c:pt>
                <c:pt idx="7">
                  <c:v>0.35</c:v>
                </c:pt>
                <c:pt idx="8">
                  <c:v>0.39</c:v>
                </c:pt>
                <c:pt idx="9">
                  <c:v>0.03</c:v>
                </c:pt>
                <c:pt idx="10">
                  <c:v>0.37</c:v>
                </c:pt>
                <c:pt idx="11">
                  <c:v>0.3</c:v>
                </c:pt>
                <c:pt idx="12">
                  <c:v>0.28999999999999998</c:v>
                </c:pt>
                <c:pt idx="13">
                  <c:v>1.02</c:v>
                </c:pt>
                <c:pt idx="14">
                  <c:v>0.06</c:v>
                </c:pt>
                <c:pt idx="15">
                  <c:v>0.52</c:v>
                </c:pt>
                <c:pt idx="16">
                  <c:v>0.7</c:v>
                </c:pt>
                <c:pt idx="17">
                  <c:v>1.03</c:v>
                </c:pt>
                <c:pt idx="18">
                  <c:v>0.45</c:v>
                </c:pt>
                <c:pt idx="19">
                  <c:v>0.69</c:v>
                </c:pt>
                <c:pt idx="20">
                  <c:v>1.64</c:v>
                </c:pt>
                <c:pt idx="21">
                  <c:v>1.45</c:v>
                </c:pt>
                <c:pt idx="22">
                  <c:v>0.62</c:v>
                </c:pt>
                <c:pt idx="23">
                  <c:v>1.06</c:v>
                </c:pt>
                <c:pt idx="24">
                  <c:v>0.87</c:v>
                </c:pt>
              </c:numCache>
            </c:numRef>
          </c:xVal>
          <c:yVal>
            <c:numRef>
              <c:f>'1M Test'!$F$2:$F$26</c:f>
              <c:numCache>
                <c:formatCode>General</c:formatCode>
                <c:ptCount val="25"/>
                <c:pt idx="0">
                  <c:v>-1.54</c:v>
                </c:pt>
                <c:pt idx="1">
                  <c:v>1.92</c:v>
                </c:pt>
                <c:pt idx="2">
                  <c:v>-1.2</c:v>
                </c:pt>
                <c:pt idx="3">
                  <c:v>-1.2</c:v>
                </c:pt>
                <c:pt idx="4">
                  <c:v>-0.09</c:v>
                </c:pt>
                <c:pt idx="5">
                  <c:v>0.82</c:v>
                </c:pt>
                <c:pt idx="6">
                  <c:v>0.64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-2.12</c:v>
                </c:pt>
                <c:pt idx="10">
                  <c:v>-0.33</c:v>
                </c:pt>
                <c:pt idx="11">
                  <c:v>-0.53</c:v>
                </c:pt>
                <c:pt idx="12">
                  <c:v>-0.56000000000000005</c:v>
                </c:pt>
                <c:pt idx="13">
                  <c:v>0.82</c:v>
                </c:pt>
                <c:pt idx="14">
                  <c:v>-1.72</c:v>
                </c:pt>
                <c:pt idx="15">
                  <c:v>0.01</c:v>
                </c:pt>
                <c:pt idx="16">
                  <c:v>0.34</c:v>
                </c:pt>
                <c:pt idx="17">
                  <c:v>0.83</c:v>
                </c:pt>
                <c:pt idx="18">
                  <c:v>-0.14000000000000001</c:v>
                </c:pt>
                <c:pt idx="19">
                  <c:v>0.33</c:v>
                </c:pt>
                <c:pt idx="20">
                  <c:v>1.51</c:v>
                </c:pt>
                <c:pt idx="21">
                  <c:v>1.32</c:v>
                </c:pt>
                <c:pt idx="22">
                  <c:v>0.2</c:v>
                </c:pt>
                <c:pt idx="23">
                  <c:v>0.87</c:v>
                </c:pt>
                <c:pt idx="24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15F-9FEE-633AD1AA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1696"/>
        <c:axId val="114331216"/>
      </c:scatterChart>
      <c:valAx>
        <c:axId val="1143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216"/>
        <c:crosses val="autoZero"/>
        <c:crossBetween val="midCat"/>
      </c:valAx>
      <c:valAx>
        <c:axId val="114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Test'!$F$1</c:f>
              <c:strCache>
                <c:ptCount val="1"/>
                <c:pt idx="0">
                  <c:v>January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"/>
            <c:backward val="1"/>
            <c:dispRSqr val="0"/>
            <c:dispEq val="1"/>
            <c:trendlineLbl>
              <c:layout>
                <c:manualLayout>
                  <c:x val="0.14564479440069991"/>
                  <c:y val="-0.22721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Test'!$E$2:$E$26</c:f>
              <c:numCache>
                <c:formatCode>General</c:formatCode>
                <c:ptCount val="25"/>
                <c:pt idx="0">
                  <c:v>0.08</c:v>
                </c:pt>
                <c:pt idx="1">
                  <c:v>2.1</c:v>
                </c:pt>
                <c:pt idx="2">
                  <c:v>0.13</c:v>
                </c:pt>
                <c:pt idx="3">
                  <c:v>0.13</c:v>
                </c:pt>
                <c:pt idx="4">
                  <c:v>0.47</c:v>
                </c:pt>
                <c:pt idx="5">
                  <c:v>1.02</c:v>
                </c:pt>
                <c:pt idx="6">
                  <c:v>0.89</c:v>
                </c:pt>
                <c:pt idx="7">
                  <c:v>0.35</c:v>
                </c:pt>
                <c:pt idx="8">
                  <c:v>0.39</c:v>
                </c:pt>
                <c:pt idx="9">
                  <c:v>0.03</c:v>
                </c:pt>
                <c:pt idx="10">
                  <c:v>0.37</c:v>
                </c:pt>
                <c:pt idx="11">
                  <c:v>0.3</c:v>
                </c:pt>
                <c:pt idx="12">
                  <c:v>0.28999999999999998</c:v>
                </c:pt>
                <c:pt idx="13">
                  <c:v>1.02</c:v>
                </c:pt>
                <c:pt idx="14">
                  <c:v>0.06</c:v>
                </c:pt>
                <c:pt idx="15">
                  <c:v>0.52</c:v>
                </c:pt>
                <c:pt idx="16">
                  <c:v>0.7</c:v>
                </c:pt>
                <c:pt idx="17">
                  <c:v>1.03</c:v>
                </c:pt>
                <c:pt idx="18">
                  <c:v>0.45</c:v>
                </c:pt>
                <c:pt idx="19">
                  <c:v>0.69</c:v>
                </c:pt>
                <c:pt idx="20">
                  <c:v>1.64</c:v>
                </c:pt>
                <c:pt idx="21">
                  <c:v>1.45</c:v>
                </c:pt>
                <c:pt idx="22">
                  <c:v>0.62</c:v>
                </c:pt>
                <c:pt idx="23">
                  <c:v>1.06</c:v>
                </c:pt>
                <c:pt idx="24">
                  <c:v>0.87</c:v>
                </c:pt>
              </c:numCache>
            </c:numRef>
          </c:xVal>
          <c:yVal>
            <c:numRef>
              <c:f>'1M Test'!$F$2:$F$26</c:f>
              <c:numCache>
                <c:formatCode>General</c:formatCode>
                <c:ptCount val="25"/>
                <c:pt idx="0">
                  <c:v>-1.54</c:v>
                </c:pt>
                <c:pt idx="1">
                  <c:v>1.92</c:v>
                </c:pt>
                <c:pt idx="2">
                  <c:v>-1.2</c:v>
                </c:pt>
                <c:pt idx="3">
                  <c:v>-1.2</c:v>
                </c:pt>
                <c:pt idx="4">
                  <c:v>-0.09</c:v>
                </c:pt>
                <c:pt idx="5">
                  <c:v>0.82</c:v>
                </c:pt>
                <c:pt idx="6">
                  <c:v>0.64</c:v>
                </c:pt>
                <c:pt idx="7">
                  <c:v>-0.38</c:v>
                </c:pt>
                <c:pt idx="8">
                  <c:v>-0.28000000000000003</c:v>
                </c:pt>
                <c:pt idx="9">
                  <c:v>-2.12</c:v>
                </c:pt>
                <c:pt idx="10">
                  <c:v>-0.33</c:v>
                </c:pt>
                <c:pt idx="11">
                  <c:v>-0.53</c:v>
                </c:pt>
                <c:pt idx="12">
                  <c:v>-0.56000000000000005</c:v>
                </c:pt>
                <c:pt idx="13">
                  <c:v>0.82</c:v>
                </c:pt>
                <c:pt idx="14">
                  <c:v>-1.72</c:v>
                </c:pt>
                <c:pt idx="15">
                  <c:v>0.01</c:v>
                </c:pt>
                <c:pt idx="16">
                  <c:v>0.34</c:v>
                </c:pt>
                <c:pt idx="17">
                  <c:v>0.83</c:v>
                </c:pt>
                <c:pt idx="18">
                  <c:v>-0.14000000000000001</c:v>
                </c:pt>
                <c:pt idx="19">
                  <c:v>0.33</c:v>
                </c:pt>
                <c:pt idx="20">
                  <c:v>1.51</c:v>
                </c:pt>
                <c:pt idx="21">
                  <c:v>1.32</c:v>
                </c:pt>
                <c:pt idx="22">
                  <c:v>0.2</c:v>
                </c:pt>
                <c:pt idx="23">
                  <c:v>0.87</c:v>
                </c:pt>
                <c:pt idx="24">
                  <c:v>0.61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9D-415F-9FEE-633AD1AAD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31696"/>
        <c:axId val="114331216"/>
      </c:scatterChart>
      <c:valAx>
        <c:axId val="1143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216"/>
        <c:crosses val="autoZero"/>
        <c:crossBetween val="midCat"/>
      </c:valAx>
      <c:valAx>
        <c:axId val="1143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3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Test'!$R$1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7.6095565158450312E-2"/>
                  <c:y val="-0.113057215391949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Test'!$Q$2:$Q$25</c:f>
              <c:numCache>
                <c:formatCode>General</c:formatCode>
                <c:ptCount val="24"/>
                <c:pt idx="0">
                  <c:v>2.9</c:v>
                </c:pt>
                <c:pt idx="1">
                  <c:v>7.2</c:v>
                </c:pt>
                <c:pt idx="2">
                  <c:v>1.55</c:v>
                </c:pt>
                <c:pt idx="3">
                  <c:v>1.47</c:v>
                </c:pt>
                <c:pt idx="4">
                  <c:v>3.55</c:v>
                </c:pt>
                <c:pt idx="5">
                  <c:v>4.18</c:v>
                </c:pt>
                <c:pt idx="6">
                  <c:v>1.89</c:v>
                </c:pt>
                <c:pt idx="7">
                  <c:v>2.31</c:v>
                </c:pt>
                <c:pt idx="8">
                  <c:v>1.64</c:v>
                </c:pt>
                <c:pt idx="9">
                  <c:v>2.67</c:v>
                </c:pt>
                <c:pt idx="10">
                  <c:v>3.05</c:v>
                </c:pt>
                <c:pt idx="11">
                  <c:v>2.27</c:v>
                </c:pt>
                <c:pt idx="12">
                  <c:v>2</c:v>
                </c:pt>
                <c:pt idx="13">
                  <c:v>0.86</c:v>
                </c:pt>
                <c:pt idx="14">
                  <c:v>3.5</c:v>
                </c:pt>
                <c:pt idx="15">
                  <c:v>11.41</c:v>
                </c:pt>
                <c:pt idx="16">
                  <c:v>2.99</c:v>
                </c:pt>
                <c:pt idx="17">
                  <c:v>5.13</c:v>
                </c:pt>
                <c:pt idx="18">
                  <c:v>1.21</c:v>
                </c:pt>
                <c:pt idx="19">
                  <c:v>3.01</c:v>
                </c:pt>
                <c:pt idx="20">
                  <c:v>8.65</c:v>
                </c:pt>
                <c:pt idx="21">
                  <c:v>3.42</c:v>
                </c:pt>
                <c:pt idx="22">
                  <c:v>3.38</c:v>
                </c:pt>
                <c:pt idx="23">
                  <c:v>4.37</c:v>
                </c:pt>
              </c:numCache>
            </c:numRef>
          </c:xVal>
          <c:yVal>
            <c:numRef>
              <c:f>'1M Test'!$R$2:$R$25</c:f>
              <c:numCache>
                <c:formatCode>General</c:formatCode>
                <c:ptCount val="24"/>
                <c:pt idx="0">
                  <c:v>-0.12</c:v>
                </c:pt>
                <c:pt idx="1">
                  <c:v>1.55</c:v>
                </c:pt>
                <c:pt idx="2">
                  <c:v>-1.01</c:v>
                </c:pt>
                <c:pt idx="3">
                  <c:v>-1.08</c:v>
                </c:pt>
                <c:pt idx="4">
                  <c:v>0.21</c:v>
                </c:pt>
                <c:pt idx="5">
                  <c:v>0.49</c:v>
                </c:pt>
                <c:pt idx="6">
                  <c:v>-0.75</c:v>
                </c:pt>
                <c:pt idx="7">
                  <c:v>-0.46</c:v>
                </c:pt>
                <c:pt idx="8">
                  <c:v>-0.94</c:v>
                </c:pt>
                <c:pt idx="9">
                  <c:v>-0.24</c:v>
                </c:pt>
                <c:pt idx="10">
                  <c:v>-0.04</c:v>
                </c:pt>
                <c:pt idx="11">
                  <c:v>-0.49</c:v>
                </c:pt>
                <c:pt idx="12">
                  <c:v>-0.67</c:v>
                </c:pt>
                <c:pt idx="13">
                  <c:v>-1.72</c:v>
                </c:pt>
                <c:pt idx="14">
                  <c:v>0.19</c:v>
                </c:pt>
                <c:pt idx="15">
                  <c:v>2.64</c:v>
                </c:pt>
                <c:pt idx="16">
                  <c:v>-7.0000000000000007E-2</c:v>
                </c:pt>
                <c:pt idx="17">
                  <c:v>0.87</c:v>
                </c:pt>
                <c:pt idx="18">
                  <c:v>-1.32</c:v>
                </c:pt>
                <c:pt idx="19">
                  <c:v>-0.06</c:v>
                </c:pt>
                <c:pt idx="20">
                  <c:v>1.96</c:v>
                </c:pt>
                <c:pt idx="21">
                  <c:v>0.15</c:v>
                </c:pt>
                <c:pt idx="22">
                  <c:v>0.13</c:v>
                </c:pt>
                <c:pt idx="23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B-4D41-9DCC-B2CD3148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74991"/>
        <c:axId val="693472591"/>
      </c:scatterChart>
      <c:valAx>
        <c:axId val="6934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2591"/>
        <c:crosses val="autoZero"/>
        <c:crossBetween val="midCat"/>
      </c:valAx>
      <c:valAx>
        <c:axId val="6934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Test'!$R$1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forward val="1"/>
            <c:backward val="1"/>
            <c:dispRSqr val="0"/>
            <c:dispEq val="1"/>
            <c:trendlineLbl>
              <c:layout>
                <c:manualLayout>
                  <c:x val="0.12126965851494784"/>
                  <c:y val="-0.145517385050784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Test'!$Q$2:$Q$25</c:f>
              <c:numCache>
                <c:formatCode>General</c:formatCode>
                <c:ptCount val="24"/>
                <c:pt idx="0">
                  <c:v>2.9</c:v>
                </c:pt>
                <c:pt idx="1">
                  <c:v>7.2</c:v>
                </c:pt>
                <c:pt idx="2">
                  <c:v>1.55</c:v>
                </c:pt>
                <c:pt idx="3">
                  <c:v>1.47</c:v>
                </c:pt>
                <c:pt idx="4">
                  <c:v>3.55</c:v>
                </c:pt>
                <c:pt idx="5">
                  <c:v>4.18</c:v>
                </c:pt>
                <c:pt idx="6">
                  <c:v>1.89</c:v>
                </c:pt>
                <c:pt idx="7">
                  <c:v>2.31</c:v>
                </c:pt>
                <c:pt idx="8">
                  <c:v>1.64</c:v>
                </c:pt>
                <c:pt idx="9">
                  <c:v>2.67</c:v>
                </c:pt>
                <c:pt idx="10">
                  <c:v>3.05</c:v>
                </c:pt>
                <c:pt idx="11">
                  <c:v>2.27</c:v>
                </c:pt>
                <c:pt idx="12">
                  <c:v>2</c:v>
                </c:pt>
                <c:pt idx="13">
                  <c:v>0.86</c:v>
                </c:pt>
                <c:pt idx="14">
                  <c:v>3.5</c:v>
                </c:pt>
                <c:pt idx="15">
                  <c:v>11.41</c:v>
                </c:pt>
                <c:pt idx="16">
                  <c:v>2.99</c:v>
                </c:pt>
                <c:pt idx="17">
                  <c:v>5.13</c:v>
                </c:pt>
                <c:pt idx="18">
                  <c:v>1.21</c:v>
                </c:pt>
                <c:pt idx="19">
                  <c:v>3.01</c:v>
                </c:pt>
                <c:pt idx="20">
                  <c:v>8.65</c:v>
                </c:pt>
                <c:pt idx="21">
                  <c:v>3.42</c:v>
                </c:pt>
                <c:pt idx="22">
                  <c:v>3.38</c:v>
                </c:pt>
                <c:pt idx="23">
                  <c:v>4.37</c:v>
                </c:pt>
              </c:numCache>
            </c:numRef>
          </c:xVal>
          <c:yVal>
            <c:numRef>
              <c:f>'1M Test'!$R$2:$R$25</c:f>
              <c:numCache>
                <c:formatCode>General</c:formatCode>
                <c:ptCount val="24"/>
                <c:pt idx="0">
                  <c:v>-0.12</c:v>
                </c:pt>
                <c:pt idx="1">
                  <c:v>1.55</c:v>
                </c:pt>
                <c:pt idx="2">
                  <c:v>-1.01</c:v>
                </c:pt>
                <c:pt idx="3">
                  <c:v>-1.08</c:v>
                </c:pt>
                <c:pt idx="4">
                  <c:v>0.21</c:v>
                </c:pt>
                <c:pt idx="5">
                  <c:v>0.49</c:v>
                </c:pt>
                <c:pt idx="6">
                  <c:v>-0.75</c:v>
                </c:pt>
                <c:pt idx="7">
                  <c:v>-0.46</c:v>
                </c:pt>
                <c:pt idx="8">
                  <c:v>-0.94</c:v>
                </c:pt>
                <c:pt idx="9">
                  <c:v>-0.24</c:v>
                </c:pt>
                <c:pt idx="10">
                  <c:v>-0.04</c:v>
                </c:pt>
                <c:pt idx="11">
                  <c:v>-0.49</c:v>
                </c:pt>
                <c:pt idx="12">
                  <c:v>-0.67</c:v>
                </c:pt>
                <c:pt idx="13">
                  <c:v>-1.72</c:v>
                </c:pt>
                <c:pt idx="14">
                  <c:v>0.19</c:v>
                </c:pt>
                <c:pt idx="15">
                  <c:v>2.64</c:v>
                </c:pt>
                <c:pt idx="16">
                  <c:v>-7.0000000000000007E-2</c:v>
                </c:pt>
                <c:pt idx="17">
                  <c:v>0.87</c:v>
                </c:pt>
                <c:pt idx="18">
                  <c:v>-1.32</c:v>
                </c:pt>
                <c:pt idx="19">
                  <c:v>-0.06</c:v>
                </c:pt>
                <c:pt idx="20">
                  <c:v>1.96</c:v>
                </c:pt>
                <c:pt idx="21">
                  <c:v>0.15</c:v>
                </c:pt>
                <c:pt idx="22">
                  <c:v>0.13</c:v>
                </c:pt>
                <c:pt idx="23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B-4D41-9DCC-B2CD3148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74991"/>
        <c:axId val="693472591"/>
      </c:scatterChart>
      <c:valAx>
        <c:axId val="6934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2591"/>
        <c:crosses val="autoZero"/>
        <c:crossBetween val="midCat"/>
      </c:valAx>
      <c:valAx>
        <c:axId val="6934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Test'!$R$1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0.1021018154574357"/>
                  <c:y val="-8.9591624816617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Test'!$Q$2:$Q$25</c:f>
              <c:numCache>
                <c:formatCode>General</c:formatCode>
                <c:ptCount val="24"/>
                <c:pt idx="0">
                  <c:v>2.9</c:v>
                </c:pt>
                <c:pt idx="1">
                  <c:v>7.2</c:v>
                </c:pt>
                <c:pt idx="2">
                  <c:v>1.55</c:v>
                </c:pt>
                <c:pt idx="3">
                  <c:v>1.47</c:v>
                </c:pt>
                <c:pt idx="4">
                  <c:v>3.55</c:v>
                </c:pt>
                <c:pt idx="5">
                  <c:v>4.18</c:v>
                </c:pt>
                <c:pt idx="6">
                  <c:v>1.89</c:v>
                </c:pt>
                <c:pt idx="7">
                  <c:v>2.31</c:v>
                </c:pt>
                <c:pt idx="8">
                  <c:v>1.64</c:v>
                </c:pt>
                <c:pt idx="9">
                  <c:v>2.67</c:v>
                </c:pt>
                <c:pt idx="10">
                  <c:v>3.05</c:v>
                </c:pt>
                <c:pt idx="11">
                  <c:v>2.27</c:v>
                </c:pt>
                <c:pt idx="12">
                  <c:v>2</c:v>
                </c:pt>
                <c:pt idx="13">
                  <c:v>0.86</c:v>
                </c:pt>
                <c:pt idx="14">
                  <c:v>3.5</c:v>
                </c:pt>
                <c:pt idx="15">
                  <c:v>11.41</c:v>
                </c:pt>
                <c:pt idx="16">
                  <c:v>2.99</c:v>
                </c:pt>
                <c:pt idx="17">
                  <c:v>5.13</c:v>
                </c:pt>
                <c:pt idx="18">
                  <c:v>1.21</c:v>
                </c:pt>
                <c:pt idx="19">
                  <c:v>3.01</c:v>
                </c:pt>
                <c:pt idx="20">
                  <c:v>8.65</c:v>
                </c:pt>
                <c:pt idx="21">
                  <c:v>3.42</c:v>
                </c:pt>
                <c:pt idx="22">
                  <c:v>3.38</c:v>
                </c:pt>
                <c:pt idx="23">
                  <c:v>4.37</c:v>
                </c:pt>
              </c:numCache>
            </c:numRef>
          </c:xVal>
          <c:yVal>
            <c:numRef>
              <c:f>'1M Test'!$R$2:$R$25</c:f>
              <c:numCache>
                <c:formatCode>General</c:formatCode>
                <c:ptCount val="24"/>
                <c:pt idx="0">
                  <c:v>-0.12</c:v>
                </c:pt>
                <c:pt idx="1">
                  <c:v>1.55</c:v>
                </c:pt>
                <c:pt idx="2">
                  <c:v>-1.01</c:v>
                </c:pt>
                <c:pt idx="3">
                  <c:v>-1.08</c:v>
                </c:pt>
                <c:pt idx="4">
                  <c:v>0.21</c:v>
                </c:pt>
                <c:pt idx="5">
                  <c:v>0.49</c:v>
                </c:pt>
                <c:pt idx="6">
                  <c:v>-0.75</c:v>
                </c:pt>
                <c:pt idx="7">
                  <c:v>-0.46</c:v>
                </c:pt>
                <c:pt idx="8">
                  <c:v>-0.94</c:v>
                </c:pt>
                <c:pt idx="9">
                  <c:v>-0.24</c:v>
                </c:pt>
                <c:pt idx="10">
                  <c:v>-0.04</c:v>
                </c:pt>
                <c:pt idx="11">
                  <c:v>-0.49</c:v>
                </c:pt>
                <c:pt idx="12">
                  <c:v>-0.67</c:v>
                </c:pt>
                <c:pt idx="13">
                  <c:v>-1.72</c:v>
                </c:pt>
                <c:pt idx="14">
                  <c:v>0.19</c:v>
                </c:pt>
                <c:pt idx="15">
                  <c:v>2.64</c:v>
                </c:pt>
                <c:pt idx="16">
                  <c:v>-7.0000000000000007E-2</c:v>
                </c:pt>
                <c:pt idx="17">
                  <c:v>0.87</c:v>
                </c:pt>
                <c:pt idx="18">
                  <c:v>-1.32</c:v>
                </c:pt>
                <c:pt idx="19">
                  <c:v>-0.06</c:v>
                </c:pt>
                <c:pt idx="20">
                  <c:v>1.96</c:v>
                </c:pt>
                <c:pt idx="21">
                  <c:v>0.15</c:v>
                </c:pt>
                <c:pt idx="22">
                  <c:v>0.13</c:v>
                </c:pt>
                <c:pt idx="23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B-4D41-9DCC-B2CD3148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74991"/>
        <c:axId val="693472591"/>
      </c:scatterChart>
      <c:valAx>
        <c:axId val="6934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2591"/>
        <c:crosses val="autoZero"/>
        <c:crossBetween val="midCat"/>
      </c:valAx>
      <c:valAx>
        <c:axId val="6934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Test'!$R$1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forward val="1"/>
            <c:backward val="1"/>
            <c:dispRSqr val="0"/>
            <c:dispEq val="1"/>
            <c:trendlineLbl>
              <c:layout>
                <c:manualLayout>
                  <c:x val="0.11399451966226791"/>
                  <c:y val="-9.42416982661120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Test'!$Q$2:$Q$25</c:f>
              <c:numCache>
                <c:formatCode>General</c:formatCode>
                <c:ptCount val="24"/>
                <c:pt idx="0">
                  <c:v>2.9</c:v>
                </c:pt>
                <c:pt idx="1">
                  <c:v>7.2</c:v>
                </c:pt>
                <c:pt idx="2">
                  <c:v>1.55</c:v>
                </c:pt>
                <c:pt idx="3">
                  <c:v>1.47</c:v>
                </c:pt>
                <c:pt idx="4">
                  <c:v>3.55</c:v>
                </c:pt>
                <c:pt idx="5">
                  <c:v>4.18</c:v>
                </c:pt>
                <c:pt idx="6">
                  <c:v>1.89</c:v>
                </c:pt>
                <c:pt idx="7">
                  <c:v>2.31</c:v>
                </c:pt>
                <c:pt idx="8">
                  <c:v>1.64</c:v>
                </c:pt>
                <c:pt idx="9">
                  <c:v>2.67</c:v>
                </c:pt>
                <c:pt idx="10">
                  <c:v>3.05</c:v>
                </c:pt>
                <c:pt idx="11">
                  <c:v>2.27</c:v>
                </c:pt>
                <c:pt idx="12">
                  <c:v>2</c:v>
                </c:pt>
                <c:pt idx="13">
                  <c:v>0.86</c:v>
                </c:pt>
                <c:pt idx="14">
                  <c:v>3.5</c:v>
                </c:pt>
                <c:pt idx="15">
                  <c:v>11.41</c:v>
                </c:pt>
                <c:pt idx="16">
                  <c:v>2.99</c:v>
                </c:pt>
                <c:pt idx="17">
                  <c:v>5.13</c:v>
                </c:pt>
                <c:pt idx="18">
                  <c:v>1.21</c:v>
                </c:pt>
                <c:pt idx="19">
                  <c:v>3.01</c:v>
                </c:pt>
                <c:pt idx="20">
                  <c:v>8.65</c:v>
                </c:pt>
                <c:pt idx="21">
                  <c:v>3.42</c:v>
                </c:pt>
                <c:pt idx="22">
                  <c:v>3.38</c:v>
                </c:pt>
                <c:pt idx="23">
                  <c:v>4.37</c:v>
                </c:pt>
              </c:numCache>
            </c:numRef>
          </c:xVal>
          <c:yVal>
            <c:numRef>
              <c:f>'1M Test'!$R$2:$R$25</c:f>
              <c:numCache>
                <c:formatCode>General</c:formatCode>
                <c:ptCount val="24"/>
                <c:pt idx="0">
                  <c:v>-0.12</c:v>
                </c:pt>
                <c:pt idx="1">
                  <c:v>1.55</c:v>
                </c:pt>
                <c:pt idx="2">
                  <c:v>-1.01</c:v>
                </c:pt>
                <c:pt idx="3">
                  <c:v>-1.08</c:v>
                </c:pt>
                <c:pt idx="4">
                  <c:v>0.21</c:v>
                </c:pt>
                <c:pt idx="5">
                  <c:v>0.49</c:v>
                </c:pt>
                <c:pt idx="6">
                  <c:v>-0.75</c:v>
                </c:pt>
                <c:pt idx="7">
                  <c:v>-0.46</c:v>
                </c:pt>
                <c:pt idx="8">
                  <c:v>-0.94</c:v>
                </c:pt>
                <c:pt idx="9">
                  <c:v>-0.24</c:v>
                </c:pt>
                <c:pt idx="10">
                  <c:v>-0.04</c:v>
                </c:pt>
                <c:pt idx="11">
                  <c:v>-0.49</c:v>
                </c:pt>
                <c:pt idx="12">
                  <c:v>-0.67</c:v>
                </c:pt>
                <c:pt idx="13">
                  <c:v>-1.72</c:v>
                </c:pt>
                <c:pt idx="14">
                  <c:v>0.19</c:v>
                </c:pt>
                <c:pt idx="15">
                  <c:v>2.64</c:v>
                </c:pt>
                <c:pt idx="16">
                  <c:v>-7.0000000000000007E-2</c:v>
                </c:pt>
                <c:pt idx="17">
                  <c:v>0.87</c:v>
                </c:pt>
                <c:pt idx="18">
                  <c:v>-1.32</c:v>
                </c:pt>
                <c:pt idx="19">
                  <c:v>-0.06</c:v>
                </c:pt>
                <c:pt idx="20">
                  <c:v>1.96</c:v>
                </c:pt>
                <c:pt idx="21">
                  <c:v>0.15</c:v>
                </c:pt>
                <c:pt idx="22">
                  <c:v>0.13</c:v>
                </c:pt>
                <c:pt idx="23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B-4D41-9DCC-B2CD3148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74991"/>
        <c:axId val="693472591"/>
      </c:scatterChart>
      <c:valAx>
        <c:axId val="6934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2591"/>
        <c:crosses val="autoZero"/>
        <c:crossBetween val="midCat"/>
      </c:valAx>
      <c:valAx>
        <c:axId val="6934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Test'!$R$1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5.4612678471342144E-2"/>
                  <c:y val="-0.139088500382470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Test'!$Q$2:$Q$25</c:f>
              <c:numCache>
                <c:formatCode>General</c:formatCode>
                <c:ptCount val="24"/>
                <c:pt idx="0">
                  <c:v>2.9</c:v>
                </c:pt>
                <c:pt idx="1">
                  <c:v>7.2</c:v>
                </c:pt>
                <c:pt idx="2">
                  <c:v>1.55</c:v>
                </c:pt>
                <c:pt idx="3">
                  <c:v>1.47</c:v>
                </c:pt>
                <c:pt idx="4">
                  <c:v>3.55</c:v>
                </c:pt>
                <c:pt idx="5">
                  <c:v>4.18</c:v>
                </c:pt>
                <c:pt idx="6">
                  <c:v>1.89</c:v>
                </c:pt>
                <c:pt idx="7">
                  <c:v>2.31</c:v>
                </c:pt>
                <c:pt idx="8">
                  <c:v>1.64</c:v>
                </c:pt>
                <c:pt idx="9">
                  <c:v>2.67</c:v>
                </c:pt>
                <c:pt idx="10">
                  <c:v>3.05</c:v>
                </c:pt>
                <c:pt idx="11">
                  <c:v>2.27</c:v>
                </c:pt>
                <c:pt idx="12">
                  <c:v>2</c:v>
                </c:pt>
                <c:pt idx="13">
                  <c:v>0.86</c:v>
                </c:pt>
                <c:pt idx="14">
                  <c:v>3.5</c:v>
                </c:pt>
                <c:pt idx="15">
                  <c:v>11.41</c:v>
                </c:pt>
                <c:pt idx="16">
                  <c:v>2.99</c:v>
                </c:pt>
                <c:pt idx="17">
                  <c:v>5.13</c:v>
                </c:pt>
                <c:pt idx="18">
                  <c:v>1.21</c:v>
                </c:pt>
                <c:pt idx="19">
                  <c:v>3.01</c:v>
                </c:pt>
                <c:pt idx="20">
                  <c:v>8.65</c:v>
                </c:pt>
                <c:pt idx="21">
                  <c:v>3.42</c:v>
                </c:pt>
                <c:pt idx="22">
                  <c:v>3.38</c:v>
                </c:pt>
                <c:pt idx="23">
                  <c:v>4.37</c:v>
                </c:pt>
              </c:numCache>
            </c:numRef>
          </c:xVal>
          <c:yVal>
            <c:numRef>
              <c:f>'1M Test'!$R$2:$R$25</c:f>
              <c:numCache>
                <c:formatCode>General</c:formatCode>
                <c:ptCount val="24"/>
                <c:pt idx="0">
                  <c:v>-0.12</c:v>
                </c:pt>
                <c:pt idx="1">
                  <c:v>1.55</c:v>
                </c:pt>
                <c:pt idx="2">
                  <c:v>-1.01</c:v>
                </c:pt>
                <c:pt idx="3">
                  <c:v>-1.08</c:v>
                </c:pt>
                <c:pt idx="4">
                  <c:v>0.21</c:v>
                </c:pt>
                <c:pt idx="5">
                  <c:v>0.49</c:v>
                </c:pt>
                <c:pt idx="6">
                  <c:v>-0.75</c:v>
                </c:pt>
                <c:pt idx="7">
                  <c:v>-0.46</c:v>
                </c:pt>
                <c:pt idx="8">
                  <c:v>-0.94</c:v>
                </c:pt>
                <c:pt idx="9">
                  <c:v>-0.24</c:v>
                </c:pt>
                <c:pt idx="10">
                  <c:v>-0.04</c:v>
                </c:pt>
                <c:pt idx="11">
                  <c:v>-0.49</c:v>
                </c:pt>
                <c:pt idx="12">
                  <c:v>-0.67</c:v>
                </c:pt>
                <c:pt idx="13">
                  <c:v>-1.72</c:v>
                </c:pt>
                <c:pt idx="14">
                  <c:v>0.19</c:v>
                </c:pt>
                <c:pt idx="15">
                  <c:v>2.64</c:v>
                </c:pt>
                <c:pt idx="16">
                  <c:v>-7.0000000000000007E-2</c:v>
                </c:pt>
                <c:pt idx="17">
                  <c:v>0.87</c:v>
                </c:pt>
                <c:pt idx="18">
                  <c:v>-1.32</c:v>
                </c:pt>
                <c:pt idx="19">
                  <c:v>-0.06</c:v>
                </c:pt>
                <c:pt idx="20">
                  <c:v>1.96</c:v>
                </c:pt>
                <c:pt idx="21">
                  <c:v>0.15</c:v>
                </c:pt>
                <c:pt idx="22">
                  <c:v>0.13</c:v>
                </c:pt>
                <c:pt idx="23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B-4D41-9DCC-B2CD3148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74991"/>
        <c:axId val="693472591"/>
      </c:scatterChart>
      <c:valAx>
        <c:axId val="6934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2591"/>
        <c:crosses val="autoZero"/>
        <c:crossBetween val="midCat"/>
      </c:valAx>
      <c:valAx>
        <c:axId val="6934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'1M Test'!$R$1</c:f>
              <c:strCache>
                <c:ptCount val="1"/>
                <c:pt idx="0">
                  <c:v>July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forward val="1"/>
            <c:backward val="1"/>
            <c:dispRSqr val="0"/>
            <c:dispEq val="1"/>
            <c:trendlineLbl>
              <c:layout>
                <c:manualLayout>
                  <c:x val="0.13724365938823804"/>
                  <c:y val="-0.2375085231700947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'1M Test'!$Q$2:$Q$25</c:f>
              <c:numCache>
                <c:formatCode>General</c:formatCode>
                <c:ptCount val="24"/>
                <c:pt idx="0">
                  <c:v>2.9</c:v>
                </c:pt>
                <c:pt idx="1">
                  <c:v>7.2</c:v>
                </c:pt>
                <c:pt idx="2">
                  <c:v>1.55</c:v>
                </c:pt>
                <c:pt idx="3">
                  <c:v>1.47</c:v>
                </c:pt>
                <c:pt idx="4">
                  <c:v>3.55</c:v>
                </c:pt>
                <c:pt idx="5">
                  <c:v>4.18</c:v>
                </c:pt>
                <c:pt idx="6">
                  <c:v>1.89</c:v>
                </c:pt>
                <c:pt idx="7">
                  <c:v>2.31</c:v>
                </c:pt>
                <c:pt idx="8">
                  <c:v>1.64</c:v>
                </c:pt>
                <c:pt idx="9">
                  <c:v>2.67</c:v>
                </c:pt>
                <c:pt idx="10">
                  <c:v>3.05</c:v>
                </c:pt>
                <c:pt idx="11">
                  <c:v>2.27</c:v>
                </c:pt>
                <c:pt idx="12">
                  <c:v>2</c:v>
                </c:pt>
                <c:pt idx="13">
                  <c:v>0.86</c:v>
                </c:pt>
                <c:pt idx="14">
                  <c:v>3.5</c:v>
                </c:pt>
                <c:pt idx="15">
                  <c:v>11.41</c:v>
                </c:pt>
                <c:pt idx="16">
                  <c:v>2.99</c:v>
                </c:pt>
                <c:pt idx="17">
                  <c:v>5.13</c:v>
                </c:pt>
                <c:pt idx="18">
                  <c:v>1.21</c:v>
                </c:pt>
                <c:pt idx="19">
                  <c:v>3.01</c:v>
                </c:pt>
                <c:pt idx="20">
                  <c:v>8.65</c:v>
                </c:pt>
                <c:pt idx="21">
                  <c:v>3.42</c:v>
                </c:pt>
                <c:pt idx="22">
                  <c:v>3.38</c:v>
                </c:pt>
                <c:pt idx="23">
                  <c:v>4.37</c:v>
                </c:pt>
              </c:numCache>
            </c:numRef>
          </c:xVal>
          <c:yVal>
            <c:numRef>
              <c:f>'1M Test'!$R$2:$R$25</c:f>
              <c:numCache>
                <c:formatCode>General</c:formatCode>
                <c:ptCount val="24"/>
                <c:pt idx="0">
                  <c:v>-0.12</c:v>
                </c:pt>
                <c:pt idx="1">
                  <c:v>1.55</c:v>
                </c:pt>
                <c:pt idx="2">
                  <c:v>-1.01</c:v>
                </c:pt>
                <c:pt idx="3">
                  <c:v>-1.08</c:v>
                </c:pt>
                <c:pt idx="4">
                  <c:v>0.21</c:v>
                </c:pt>
                <c:pt idx="5">
                  <c:v>0.49</c:v>
                </c:pt>
                <c:pt idx="6">
                  <c:v>-0.75</c:v>
                </c:pt>
                <c:pt idx="7">
                  <c:v>-0.46</c:v>
                </c:pt>
                <c:pt idx="8">
                  <c:v>-0.94</c:v>
                </c:pt>
                <c:pt idx="9">
                  <c:v>-0.24</c:v>
                </c:pt>
                <c:pt idx="10">
                  <c:v>-0.04</c:v>
                </c:pt>
                <c:pt idx="11">
                  <c:v>-0.49</c:v>
                </c:pt>
                <c:pt idx="12">
                  <c:v>-0.67</c:v>
                </c:pt>
                <c:pt idx="13">
                  <c:v>-1.72</c:v>
                </c:pt>
                <c:pt idx="14">
                  <c:v>0.19</c:v>
                </c:pt>
                <c:pt idx="15">
                  <c:v>2.64</c:v>
                </c:pt>
                <c:pt idx="16">
                  <c:v>-7.0000000000000007E-2</c:v>
                </c:pt>
                <c:pt idx="17">
                  <c:v>0.87</c:v>
                </c:pt>
                <c:pt idx="18">
                  <c:v>-1.32</c:v>
                </c:pt>
                <c:pt idx="19">
                  <c:v>-0.06</c:v>
                </c:pt>
                <c:pt idx="20">
                  <c:v>1.96</c:v>
                </c:pt>
                <c:pt idx="21">
                  <c:v>0.15</c:v>
                </c:pt>
                <c:pt idx="22">
                  <c:v>0.13</c:v>
                </c:pt>
                <c:pt idx="23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B-4D41-9DCC-B2CD31481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474991"/>
        <c:axId val="693472591"/>
      </c:scatterChart>
      <c:valAx>
        <c:axId val="69347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2591"/>
        <c:crosses val="autoZero"/>
        <c:crossBetween val="midCat"/>
      </c:valAx>
      <c:valAx>
        <c:axId val="6934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474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192708</xdr:colOff>
      <xdr:row>26</xdr:row>
      <xdr:rowOff>69643</xdr:rowOff>
    </xdr:from>
    <xdr:to>
      <xdr:col>11</xdr:col>
      <xdr:colOff>491159</xdr:colOff>
      <xdr:row>40</xdr:row>
      <xdr:rowOff>145843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A78C53-A590-2E1F-9742-39F423E61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311721</xdr:colOff>
      <xdr:row>26</xdr:row>
      <xdr:rowOff>46175</xdr:rowOff>
    </xdr:from>
    <xdr:to>
      <xdr:col>26</xdr:col>
      <xdr:colOff>610172</xdr:colOff>
      <xdr:row>40</xdr:row>
      <xdr:rowOff>122375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806989-8ADA-3435-B405-4EBDA75CA9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531605</xdr:colOff>
      <xdr:row>26</xdr:row>
      <xdr:rowOff>54458</xdr:rowOff>
    </xdr:from>
    <xdr:to>
      <xdr:col>19</xdr:col>
      <xdr:colOff>236468</xdr:colOff>
      <xdr:row>40</xdr:row>
      <xdr:rowOff>130658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C55F47-7996-39FB-FE47-7F82EAB79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192708</xdr:colOff>
      <xdr:row>41</xdr:row>
      <xdr:rowOff>77923</xdr:rowOff>
    </xdr:from>
    <xdr:to>
      <xdr:col>11</xdr:col>
      <xdr:colOff>491159</xdr:colOff>
      <xdr:row>55</xdr:row>
      <xdr:rowOff>154123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C3C2CE-B562-6101-261C-BA9060E872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531605</xdr:colOff>
      <xdr:row>41</xdr:row>
      <xdr:rowOff>62738</xdr:rowOff>
    </xdr:from>
    <xdr:to>
      <xdr:col>19</xdr:col>
      <xdr:colOff>236468</xdr:colOff>
      <xdr:row>55</xdr:row>
      <xdr:rowOff>138938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A6FEC4-DC68-567C-EAF9-FB86A817E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311721</xdr:colOff>
      <xdr:row>41</xdr:row>
      <xdr:rowOff>71020</xdr:rowOff>
    </xdr:from>
    <xdr:to>
      <xdr:col>26</xdr:col>
      <xdr:colOff>610172</xdr:colOff>
      <xdr:row>55</xdr:row>
      <xdr:rowOff>147220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85FD9CC-735E-4FDD-58DB-43FE5D591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204637</xdr:colOff>
      <xdr:row>56</xdr:row>
      <xdr:rowOff>158939</xdr:rowOff>
    </xdr:from>
    <xdr:to>
      <xdr:col>11</xdr:col>
      <xdr:colOff>490388</xdr:colOff>
      <xdr:row>70</xdr:row>
      <xdr:rowOff>180711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C5F33DF-8BC6-18B8-F37D-CA43F198E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204637</xdr:colOff>
      <xdr:row>71</xdr:row>
      <xdr:rowOff>178378</xdr:rowOff>
    </xdr:from>
    <xdr:to>
      <xdr:col>11</xdr:col>
      <xdr:colOff>490388</xdr:colOff>
      <xdr:row>86</xdr:row>
      <xdr:rowOff>9649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085755D-DD1C-2F2D-993A-87372C869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533683</xdr:colOff>
      <xdr:row>56</xdr:row>
      <xdr:rowOff>158939</xdr:rowOff>
    </xdr:from>
    <xdr:to>
      <xdr:col>19</xdr:col>
      <xdr:colOff>213297</xdr:colOff>
      <xdr:row>70</xdr:row>
      <xdr:rowOff>180711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AB8FC14-8713-1717-D61B-1F98D6BF1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533683</xdr:colOff>
      <xdr:row>71</xdr:row>
      <xdr:rowOff>178378</xdr:rowOff>
    </xdr:from>
    <xdr:to>
      <xdr:col>19</xdr:col>
      <xdr:colOff>213297</xdr:colOff>
      <xdr:row>86</xdr:row>
      <xdr:rowOff>9649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EC309C5-2CDD-7B77-7129-66B122C4D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325865</xdr:colOff>
      <xdr:row>56</xdr:row>
      <xdr:rowOff>158939</xdr:rowOff>
    </xdr:from>
    <xdr:to>
      <xdr:col>27</xdr:col>
      <xdr:colOff>5479</xdr:colOff>
      <xdr:row>70</xdr:row>
      <xdr:rowOff>180711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F7D8EBA9-B42B-1398-5593-976BEBEE4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325865</xdr:colOff>
      <xdr:row>71</xdr:row>
      <xdr:rowOff>178378</xdr:rowOff>
    </xdr:from>
    <xdr:to>
      <xdr:col>27</xdr:col>
      <xdr:colOff>5479</xdr:colOff>
      <xdr:row>86</xdr:row>
      <xdr:rowOff>9649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389C26B-8F13-4BEA-454F-4F29ABCE0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mas Schwent" refreshedDate="45686.904651736113" createdVersion="8" refreshedVersion="8" minRefreshableVersion="3" recordCount="293" xr:uid="{21AE4C56-C6DF-433F-BB4D-5EF2FE071356}">
  <cacheSource type="worksheet">
    <worksheetSource ref="A1:D294" sheet="1M Test"/>
  </cacheSource>
  <cacheFields count="7">
    <cacheField name="Date" numFmtId="14">
      <sharedItems containsSemiMixedTypes="0" containsNonDate="0" containsDate="1" containsString="0" minDate="2000-01-01T00:00:00" maxDate="2024-05-02T00:00:00" count="293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  <fieldGroup par="6"/>
    </cacheField>
    <cacheField name="Precip" numFmtId="0">
      <sharedItems containsSemiMixedTypes="0" containsString="0" containsNumber="1" minValue="0" maxValue="11.46"/>
    </cacheField>
    <cacheField name="SPI" numFmtId="0">
      <sharedItems containsSemiMixedTypes="0" containsString="0" containsNumber="1" minValue="-2.83" maxValue="2.64"/>
    </cacheField>
    <cacheField name="Month" numFmtId="0">
      <sharedItems containsSemiMixedTypes="0" containsString="0" containsNumber="1" containsInteger="1" minValue="1" maxValue="12"/>
    </cacheField>
    <cacheField name="Months (Date)" numFmtId="0" databaseField="0">
      <fieldGroup base="0">
        <rangePr groupBy="months" startDate="2000-01-01T00:00:00" endDate="2024-05-02T00:00:00"/>
        <groupItems count="14">
          <s v="&lt;1/1/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4"/>
        </groupItems>
      </fieldGroup>
    </cacheField>
    <cacheField name="Quarters (Date)" numFmtId="0" databaseField="0">
      <fieldGroup base="0">
        <rangePr groupBy="quarters" startDate="2000-01-01T00:00:00" endDate="2024-05-02T00:00:00"/>
        <groupItems count="6">
          <s v="&lt;1/1/2000"/>
          <s v="Qtr1"/>
          <s v="Qtr2"/>
          <s v="Qtr3"/>
          <s v="Qtr4"/>
          <s v="&gt;5/2/2024"/>
        </groupItems>
      </fieldGroup>
    </cacheField>
    <cacheField name="Years (Date)" numFmtId="0" databaseField="0">
      <fieldGroup base="0">
        <rangePr groupBy="years" startDate="2000-01-01T00:00:00" endDate="2024-05-02T00:00:00"/>
        <groupItems count="27">
          <s v="&lt;1/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5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n v="0.08"/>
    <n v="-1.54"/>
    <n v="1"/>
  </r>
  <r>
    <x v="1"/>
    <n v="1.33"/>
    <n v="0.81"/>
    <n v="2"/>
  </r>
  <r>
    <x v="2"/>
    <n v="1.02"/>
    <n v="-1.1100000000000001"/>
    <n v="3"/>
  </r>
  <r>
    <x v="3"/>
    <n v="2.16"/>
    <n v="-0.68"/>
    <n v="4"/>
  </r>
  <r>
    <x v="4"/>
    <n v="1.61"/>
    <n v="-1.52"/>
    <n v="5"/>
  </r>
  <r>
    <x v="5"/>
    <n v="5.26"/>
    <n v="0.19"/>
    <n v="6"/>
  </r>
  <r>
    <x v="6"/>
    <n v="2.9"/>
    <n v="-0.12"/>
    <n v="7"/>
  </r>
  <r>
    <x v="7"/>
    <n v="1.69"/>
    <n v="-0.76"/>
    <n v="8"/>
  </r>
  <r>
    <x v="8"/>
    <n v="2.68"/>
    <n v="0.2"/>
    <n v="9"/>
  </r>
  <r>
    <x v="9"/>
    <n v="1.42"/>
    <n v="-0.68"/>
    <n v="10"/>
  </r>
  <r>
    <x v="10"/>
    <n v="2.27"/>
    <n v="0.8"/>
    <n v="11"/>
  </r>
  <r>
    <x v="11"/>
    <n v="0.22"/>
    <n v="-1.2"/>
    <n v="12"/>
  </r>
  <r>
    <x v="12"/>
    <n v="2.1"/>
    <n v="1.92"/>
    <n v="1"/>
  </r>
  <r>
    <x v="13"/>
    <n v="3.03"/>
    <n v="1.89"/>
    <n v="2"/>
  </r>
  <r>
    <x v="14"/>
    <n v="1.8"/>
    <n v="-0.08"/>
    <n v="3"/>
  </r>
  <r>
    <x v="15"/>
    <n v="1.76"/>
    <n v="-1.03"/>
    <n v="4"/>
  </r>
  <r>
    <x v="16"/>
    <n v="4.57"/>
    <n v="0.06"/>
    <n v="5"/>
  </r>
  <r>
    <x v="17"/>
    <n v="7.53"/>
    <n v="0.92"/>
    <n v="6"/>
  </r>
  <r>
    <x v="18"/>
    <n v="7.2"/>
    <n v="1.55"/>
    <n v="7"/>
  </r>
  <r>
    <x v="19"/>
    <n v="1.31"/>
    <n v="-1"/>
    <n v="8"/>
  </r>
  <r>
    <x v="20"/>
    <n v="3.42"/>
    <n v="0.5"/>
    <n v="9"/>
  </r>
  <r>
    <x v="21"/>
    <n v="1.95"/>
    <n v="-0.25"/>
    <n v="10"/>
  </r>
  <r>
    <x v="22"/>
    <n v="0.37"/>
    <n v="-1"/>
    <n v="11"/>
  </r>
  <r>
    <x v="23"/>
    <n v="0.62"/>
    <n v="-0.36"/>
    <n v="12"/>
  </r>
  <r>
    <x v="24"/>
    <n v="0.13"/>
    <n v="-1.2"/>
    <n v="1"/>
  </r>
  <r>
    <x v="25"/>
    <n v="0.49"/>
    <n v="-0.13"/>
    <n v="2"/>
  </r>
  <r>
    <x v="26"/>
    <n v="1.47"/>
    <n v="-0.47"/>
    <n v="3"/>
  </r>
  <r>
    <x v="27"/>
    <n v="3.85"/>
    <n v="0.44"/>
    <n v="4"/>
  </r>
  <r>
    <x v="28"/>
    <n v="4.45"/>
    <n v="0.02"/>
    <n v="5"/>
  </r>
  <r>
    <x v="29"/>
    <n v="1.47"/>
    <n v="-1.84"/>
    <n v="6"/>
  </r>
  <r>
    <x v="30"/>
    <n v="1.55"/>
    <n v="-1.01"/>
    <n v="7"/>
  </r>
  <r>
    <x v="31"/>
    <n v="3.56"/>
    <n v="7.0000000000000007E-2"/>
    <n v="8"/>
  </r>
  <r>
    <x v="32"/>
    <n v="0.79"/>
    <n v="-0.98"/>
    <n v="9"/>
  </r>
  <r>
    <x v="33"/>
    <n v="2.95"/>
    <n v="0.37"/>
    <n v="10"/>
  </r>
  <r>
    <x v="34"/>
    <n v="0.26"/>
    <n v="-1.25"/>
    <n v="11"/>
  </r>
  <r>
    <x v="35"/>
    <n v="0"/>
    <n v="-1.73"/>
    <n v="12"/>
  </r>
  <r>
    <x v="36"/>
    <n v="0.13"/>
    <n v="-1.2"/>
    <n v="1"/>
  </r>
  <r>
    <x v="37"/>
    <n v="0.52"/>
    <n v="-0.08"/>
    <n v="2"/>
  </r>
  <r>
    <x v="38"/>
    <n v="1"/>
    <n v="-1.1499999999999999"/>
    <n v="3"/>
  </r>
  <r>
    <x v="39"/>
    <n v="3.86"/>
    <n v="0.44"/>
    <n v="4"/>
  </r>
  <r>
    <x v="40"/>
    <n v="3.43"/>
    <n v="-0.42"/>
    <n v="5"/>
  </r>
  <r>
    <x v="41"/>
    <n v="4.78"/>
    <n v="0.01"/>
    <n v="6"/>
  </r>
  <r>
    <x v="42"/>
    <n v="1.47"/>
    <n v="-1.08"/>
    <n v="7"/>
  </r>
  <r>
    <x v="43"/>
    <n v="1.37"/>
    <n v="-0.96"/>
    <n v="8"/>
  </r>
  <r>
    <x v="44"/>
    <n v="2.3199999999999998"/>
    <n v="0.04"/>
    <n v="9"/>
  </r>
  <r>
    <x v="45"/>
    <n v="1.27"/>
    <n v="-0.82"/>
    <n v="10"/>
  </r>
  <r>
    <x v="46"/>
    <n v="1.28"/>
    <n v="0.12"/>
    <n v="11"/>
  </r>
  <r>
    <x v="47"/>
    <n v="1.55"/>
    <n v="0.77"/>
    <n v="12"/>
  </r>
  <r>
    <x v="48"/>
    <n v="0.47"/>
    <n v="-0.09"/>
    <n v="1"/>
  </r>
  <r>
    <x v="49"/>
    <n v="0.36"/>
    <n v="-0.36"/>
    <n v="2"/>
  </r>
  <r>
    <x v="50"/>
    <n v="4.62"/>
    <n v="2.12"/>
    <n v="3"/>
  </r>
  <r>
    <x v="51"/>
    <n v="1.51"/>
    <n v="-1.28"/>
    <n v="4"/>
  </r>
  <r>
    <x v="52"/>
    <n v="7.47"/>
    <n v="1.02"/>
    <n v="5"/>
  </r>
  <r>
    <x v="53"/>
    <n v="6.66"/>
    <n v="0.66"/>
    <n v="6"/>
  </r>
  <r>
    <x v="54"/>
    <n v="3.55"/>
    <n v="0.21"/>
    <n v="7"/>
  </r>
  <r>
    <x v="55"/>
    <n v="4.8099999999999996"/>
    <n v="0.47"/>
    <n v="8"/>
  </r>
  <r>
    <x v="56"/>
    <n v="2.61"/>
    <n v="0.17"/>
    <n v="9"/>
  </r>
  <r>
    <x v="57"/>
    <n v="1.77"/>
    <n v="-0.39"/>
    <n v="10"/>
  </r>
  <r>
    <x v="58"/>
    <n v="1.46"/>
    <n v="0.27"/>
    <n v="11"/>
  </r>
  <r>
    <x v="59"/>
    <n v="0.31"/>
    <n v="-0.97"/>
    <n v="12"/>
  </r>
  <r>
    <x v="60"/>
    <n v="1.02"/>
    <n v="0.82"/>
    <n v="1"/>
  </r>
  <r>
    <x v="61"/>
    <n v="2.23"/>
    <n v="1.45"/>
    <n v="2"/>
  </r>
  <r>
    <x v="62"/>
    <n v="0.89"/>
    <n v="-1.34"/>
    <n v="3"/>
  </r>
  <r>
    <x v="63"/>
    <n v="4.88"/>
    <n v="0.96"/>
    <n v="4"/>
  </r>
  <r>
    <x v="64"/>
    <n v="1.45"/>
    <n v="-1.66"/>
    <n v="5"/>
  </r>
  <r>
    <x v="65"/>
    <n v="5.8"/>
    <n v="0.38"/>
    <n v="6"/>
  </r>
  <r>
    <x v="66"/>
    <n v="4.18"/>
    <n v="0.49"/>
    <n v="7"/>
  </r>
  <r>
    <x v="67"/>
    <n v="1.97"/>
    <n v="-0.6"/>
    <n v="8"/>
  </r>
  <r>
    <x v="68"/>
    <n v="1.48"/>
    <n v="-0.43"/>
    <n v="9"/>
  </r>
  <r>
    <x v="69"/>
    <n v="2.71"/>
    <n v="0.23"/>
    <n v="10"/>
  </r>
  <r>
    <x v="70"/>
    <n v="1.42"/>
    <n v="0.24"/>
    <n v="11"/>
  </r>
  <r>
    <x v="71"/>
    <n v="1.1000000000000001"/>
    <n v="0.3"/>
    <n v="12"/>
  </r>
  <r>
    <x v="72"/>
    <n v="0.89"/>
    <n v="0.64"/>
    <n v="1"/>
  </r>
  <r>
    <x v="73"/>
    <n v="0.01"/>
    <n v="-2.1800000000000002"/>
    <n v="2"/>
  </r>
  <r>
    <x v="74"/>
    <n v="1.43"/>
    <n v="-0.52"/>
    <n v="3"/>
  </r>
  <r>
    <x v="75"/>
    <n v="4.3899999999999997"/>
    <n v="0.72"/>
    <n v="4"/>
  </r>
  <r>
    <x v="76"/>
    <n v="1.07"/>
    <n v="-2.0299999999999998"/>
    <n v="5"/>
  </r>
  <r>
    <x v="77"/>
    <n v="3.76"/>
    <n v="-0.42"/>
    <n v="6"/>
  </r>
  <r>
    <x v="78"/>
    <n v="1.89"/>
    <n v="-0.75"/>
    <n v="7"/>
  </r>
  <r>
    <x v="79"/>
    <n v="9.26"/>
    <n v="1.49"/>
    <n v="8"/>
  </r>
  <r>
    <x v="80"/>
    <n v="3.85"/>
    <n v="0.65"/>
    <n v="9"/>
  </r>
  <r>
    <x v="81"/>
    <n v="3.04"/>
    <n v="0.42"/>
    <n v="10"/>
  </r>
  <r>
    <x v="82"/>
    <n v="1.17"/>
    <n v="0.03"/>
    <n v="11"/>
  </r>
  <r>
    <x v="83"/>
    <n v="1.37"/>
    <n v="0.6"/>
    <n v="12"/>
  </r>
  <r>
    <x v="84"/>
    <n v="0.35"/>
    <n v="-0.38"/>
    <n v="1"/>
  </r>
  <r>
    <x v="85"/>
    <n v="0.7"/>
    <n v="0.18"/>
    <n v="2"/>
  </r>
  <r>
    <x v="86"/>
    <n v="2.6"/>
    <n v="0.69"/>
    <n v="3"/>
  </r>
  <r>
    <x v="87"/>
    <n v="2.14"/>
    <n v="-0.7"/>
    <n v="4"/>
  </r>
  <r>
    <x v="88"/>
    <n v="9.49"/>
    <n v="1.54"/>
    <n v="5"/>
  </r>
  <r>
    <x v="89"/>
    <n v="1.1100000000000001"/>
    <n v="-2.2000000000000002"/>
    <n v="6"/>
  </r>
  <r>
    <x v="90"/>
    <n v="2.31"/>
    <n v="-0.46"/>
    <n v="7"/>
  </r>
  <r>
    <x v="91"/>
    <n v="6.19"/>
    <n v="0.83"/>
    <n v="8"/>
  </r>
  <r>
    <x v="92"/>
    <n v="2.19"/>
    <n v="-0.02"/>
    <n v="9"/>
  </r>
  <r>
    <x v="93"/>
    <n v="3.7"/>
    <n v="0.75"/>
    <n v="10"/>
  </r>
  <r>
    <x v="94"/>
    <n v="0.02"/>
    <n v="-2.66"/>
    <n v="11"/>
  </r>
  <r>
    <x v="95"/>
    <n v="1.39"/>
    <n v="0.62"/>
    <n v="12"/>
  </r>
  <r>
    <x v="96"/>
    <n v="0.39"/>
    <n v="-0.28000000000000003"/>
    <n v="1"/>
  </r>
  <r>
    <x v="97"/>
    <n v="1.79"/>
    <n v="1.1599999999999999"/>
    <n v="2"/>
  </r>
  <r>
    <x v="98"/>
    <n v="1.82"/>
    <n v="-0.06"/>
    <n v="3"/>
  </r>
  <r>
    <x v="99"/>
    <n v="5.85"/>
    <n v="1.39"/>
    <n v="4"/>
  </r>
  <r>
    <x v="100"/>
    <n v="3.73"/>
    <n v="-0.28999999999999998"/>
    <n v="5"/>
  </r>
  <r>
    <x v="101"/>
    <n v="9.2200000000000006"/>
    <n v="1.38"/>
    <n v="6"/>
  </r>
  <r>
    <x v="102"/>
    <n v="1.64"/>
    <n v="-0.94"/>
    <n v="7"/>
  </r>
  <r>
    <x v="103"/>
    <n v="1.06"/>
    <n v="-1.2"/>
    <n v="8"/>
  </r>
  <r>
    <x v="104"/>
    <n v="7.52"/>
    <n v="1.65"/>
    <n v="9"/>
  </r>
  <r>
    <x v="105"/>
    <n v="3.7"/>
    <n v="0.75"/>
    <n v="10"/>
  </r>
  <r>
    <x v="106"/>
    <n v="1.19"/>
    <n v="0.04"/>
    <n v="11"/>
  </r>
  <r>
    <x v="107"/>
    <n v="0.97"/>
    <n v="0.15"/>
    <n v="12"/>
  </r>
  <r>
    <x v="108"/>
    <n v="0.03"/>
    <n v="-2.12"/>
    <n v="1"/>
  </r>
  <r>
    <x v="109"/>
    <n v="0.28999999999999998"/>
    <n v="-0.52"/>
    <n v="2"/>
  </r>
  <r>
    <x v="110"/>
    <n v="3.5"/>
    <n v="1.39"/>
    <n v="3"/>
  </r>
  <r>
    <x v="111"/>
    <n v="4.68"/>
    <n v="0.87"/>
    <n v="4"/>
  </r>
  <r>
    <x v="112"/>
    <n v="5.98"/>
    <n v="0.56000000000000005"/>
    <n v="5"/>
  </r>
  <r>
    <x v="113"/>
    <n v="7.42"/>
    <n v="0.89"/>
    <n v="6"/>
  </r>
  <r>
    <x v="114"/>
    <n v="2.67"/>
    <n v="-0.24"/>
    <n v="7"/>
  </r>
  <r>
    <x v="115"/>
    <n v="5.77"/>
    <n v="0.73"/>
    <n v="8"/>
  </r>
  <r>
    <x v="116"/>
    <n v="0.53"/>
    <n v="-1.29"/>
    <n v="9"/>
  </r>
  <r>
    <x v="117"/>
    <n v="4.42"/>
    <n v="1.07"/>
    <n v="10"/>
  </r>
  <r>
    <x v="118"/>
    <n v="2.4900000000000002"/>
    <n v="0.92"/>
    <n v="11"/>
  </r>
  <r>
    <x v="119"/>
    <n v="0.94"/>
    <n v="0.11"/>
    <n v="12"/>
  </r>
  <r>
    <x v="120"/>
    <n v="0.37"/>
    <n v="-0.33"/>
    <n v="1"/>
  </r>
  <r>
    <x v="121"/>
    <n v="0.38"/>
    <n v="-0.32"/>
    <n v="2"/>
  </r>
  <r>
    <x v="122"/>
    <n v="2.54"/>
    <n v="0.64"/>
    <n v="3"/>
  </r>
  <r>
    <x v="123"/>
    <n v="4.54"/>
    <n v="0.8"/>
    <n v="4"/>
  </r>
  <r>
    <x v="124"/>
    <n v="6.36"/>
    <n v="0.69"/>
    <n v="5"/>
  </r>
  <r>
    <x v="125"/>
    <n v="7.85"/>
    <n v="1.02"/>
    <n v="6"/>
  </r>
  <r>
    <x v="126"/>
    <n v="3.05"/>
    <n v="-0.04"/>
    <n v="7"/>
  </r>
  <r>
    <x v="127"/>
    <n v="1.44"/>
    <n v="-0.91"/>
    <n v="8"/>
  </r>
  <r>
    <x v="128"/>
    <n v="6.63"/>
    <n v="1.44"/>
    <n v="9"/>
  </r>
  <r>
    <x v="129"/>
    <n v="1.52"/>
    <n v="-0.59"/>
    <n v="10"/>
  </r>
  <r>
    <x v="130"/>
    <n v="1.52"/>
    <n v="0.31"/>
    <n v="11"/>
  </r>
  <r>
    <x v="131"/>
    <n v="0.24"/>
    <n v="-1.1399999999999999"/>
    <n v="12"/>
  </r>
  <r>
    <x v="132"/>
    <n v="0.3"/>
    <n v="-0.53"/>
    <n v="1"/>
  </r>
  <r>
    <x v="133"/>
    <n v="0.27"/>
    <n v="-0.56000000000000005"/>
    <n v="2"/>
  </r>
  <r>
    <x v="134"/>
    <n v="1.38"/>
    <n v="-0.59"/>
    <n v="3"/>
  </r>
  <r>
    <x v="135"/>
    <n v="4.04"/>
    <n v="0.54"/>
    <n v="4"/>
  </r>
  <r>
    <x v="136"/>
    <n v="4.7"/>
    <n v="0.11"/>
    <n v="5"/>
  </r>
  <r>
    <x v="137"/>
    <n v="2.97"/>
    <n v="-0.82"/>
    <n v="6"/>
  </r>
  <r>
    <x v="138"/>
    <n v="2.27"/>
    <n v="-0.49"/>
    <n v="7"/>
  </r>
  <r>
    <x v="139"/>
    <n v="4.8099999999999996"/>
    <n v="0.47"/>
    <n v="8"/>
  </r>
  <r>
    <x v="140"/>
    <n v="0.64"/>
    <n v="-1.1499999999999999"/>
    <n v="9"/>
  </r>
  <r>
    <x v="141"/>
    <n v="0.24"/>
    <n v="-2.5"/>
    <n v="10"/>
  </r>
  <r>
    <x v="142"/>
    <n v="3.5"/>
    <n v="1.41"/>
    <n v="11"/>
  </r>
  <r>
    <x v="143"/>
    <n v="2.77"/>
    <n v="1.72"/>
    <n v="12"/>
  </r>
  <r>
    <x v="144"/>
    <n v="0.28999999999999998"/>
    <n v="-0.56000000000000005"/>
    <n v="1"/>
  </r>
  <r>
    <x v="145"/>
    <n v="1.98"/>
    <n v="1.29"/>
    <n v="2"/>
  </r>
  <r>
    <x v="146"/>
    <n v="2.76"/>
    <n v="0.83"/>
    <n v="3"/>
  </r>
  <r>
    <x v="147"/>
    <n v="3.2"/>
    <n v="0.06"/>
    <n v="4"/>
  </r>
  <r>
    <x v="148"/>
    <n v="2.96"/>
    <n v="-0.66"/>
    <n v="5"/>
  </r>
  <r>
    <x v="149"/>
    <n v="1.92"/>
    <n v="-1.48"/>
    <n v="6"/>
  </r>
  <r>
    <x v="150"/>
    <n v="2"/>
    <n v="-0.67"/>
    <n v="7"/>
  </r>
  <r>
    <x v="151"/>
    <n v="3.08"/>
    <n v="-0.1"/>
    <n v="8"/>
  </r>
  <r>
    <x v="152"/>
    <n v="0.79"/>
    <n v="-0.98"/>
    <n v="9"/>
  </r>
  <r>
    <x v="153"/>
    <n v="1.83"/>
    <n v="-0.34"/>
    <n v="10"/>
  </r>
  <r>
    <x v="154"/>
    <n v="1.71"/>
    <n v="0.45"/>
    <n v="11"/>
  </r>
  <r>
    <x v="155"/>
    <n v="1.0900000000000001"/>
    <n v="0.28999999999999998"/>
    <n v="12"/>
  </r>
  <r>
    <x v="156"/>
    <n v="1.02"/>
    <n v="0.82"/>
    <n v="1"/>
  </r>
  <r>
    <x v="157"/>
    <n v="0.66"/>
    <n v="0.12"/>
    <n v="2"/>
  </r>
  <r>
    <x v="158"/>
    <n v="1.2"/>
    <n v="-0.84"/>
    <n v="3"/>
  </r>
  <r>
    <x v="159"/>
    <n v="4.26"/>
    <n v="0.66"/>
    <n v="4"/>
  </r>
  <r>
    <x v="160"/>
    <n v="6.83"/>
    <n v="0.83"/>
    <n v="5"/>
  </r>
  <r>
    <x v="161"/>
    <n v="3.75"/>
    <n v="-0.43"/>
    <n v="6"/>
  </r>
  <r>
    <x v="162"/>
    <n v="0.86"/>
    <n v="-1.72"/>
    <n v="7"/>
  </r>
  <r>
    <x v="163"/>
    <n v="0.1"/>
    <n v="-2.83"/>
    <n v="8"/>
  </r>
  <r>
    <x v="164"/>
    <n v="3.58"/>
    <n v="0.56000000000000005"/>
    <n v="9"/>
  </r>
  <r>
    <x v="165"/>
    <n v="3.32"/>
    <n v="0.56000000000000005"/>
    <n v="10"/>
  </r>
  <r>
    <x v="166"/>
    <n v="1.24"/>
    <n v="0.09"/>
    <n v="11"/>
  </r>
  <r>
    <x v="167"/>
    <n v="0.22"/>
    <n v="-1.2"/>
    <n v="12"/>
  </r>
  <r>
    <x v="168"/>
    <n v="0.06"/>
    <n v="-1.72"/>
    <n v="1"/>
  </r>
  <r>
    <x v="169"/>
    <n v="0.65"/>
    <n v="0.11"/>
    <n v="2"/>
  </r>
  <r>
    <x v="170"/>
    <n v="0.74"/>
    <n v="-1.62"/>
    <n v="3"/>
  </r>
  <r>
    <x v="171"/>
    <n v="3.06"/>
    <n v="-0.03"/>
    <n v="4"/>
  </r>
  <r>
    <x v="172"/>
    <n v="2.71"/>
    <n v="-0.79"/>
    <n v="5"/>
  </r>
  <r>
    <x v="173"/>
    <n v="8.84"/>
    <n v="1.28"/>
    <n v="6"/>
  </r>
  <r>
    <x v="174"/>
    <n v="3.5"/>
    <n v="0.19"/>
    <n v="7"/>
  </r>
  <r>
    <x v="175"/>
    <n v="9.7200000000000006"/>
    <n v="1.58"/>
    <n v="8"/>
  </r>
  <r>
    <x v="176"/>
    <n v="5.01"/>
    <n v="1.02"/>
    <n v="9"/>
  </r>
  <r>
    <x v="177"/>
    <n v="4.49"/>
    <n v="1.1000000000000001"/>
    <n v="10"/>
  </r>
  <r>
    <x v="178"/>
    <n v="0.23"/>
    <n v="-1.34"/>
    <n v="11"/>
  </r>
  <r>
    <x v="179"/>
    <n v="0.87"/>
    <n v="0.02"/>
    <n v="12"/>
  </r>
  <r>
    <x v="180"/>
    <n v="0.52"/>
    <n v="0.01"/>
    <n v="1"/>
  </r>
  <r>
    <x v="181"/>
    <n v="0.62"/>
    <n v="7.0000000000000007E-2"/>
    <n v="2"/>
  </r>
  <r>
    <x v="182"/>
    <n v="0.98"/>
    <n v="-1.18"/>
    <n v="3"/>
  </r>
  <r>
    <x v="183"/>
    <n v="1.82"/>
    <n v="-0.97"/>
    <n v="4"/>
  </r>
  <r>
    <x v="184"/>
    <n v="6.51"/>
    <n v="0.73"/>
    <n v="5"/>
  </r>
  <r>
    <x v="185"/>
    <n v="5.16"/>
    <n v="0.15"/>
    <n v="6"/>
  </r>
  <r>
    <x v="186"/>
    <n v="11.41"/>
    <n v="2.64"/>
    <n v="7"/>
  </r>
  <r>
    <x v="187"/>
    <n v="3.95"/>
    <n v="0.21"/>
    <n v="8"/>
  </r>
  <r>
    <x v="188"/>
    <n v="3.9"/>
    <n v="0.67"/>
    <n v="9"/>
  </r>
  <r>
    <x v="189"/>
    <n v="0.99"/>
    <n v="-1.1200000000000001"/>
    <n v="10"/>
  </r>
  <r>
    <x v="190"/>
    <n v="4.4800000000000004"/>
    <n v="1.81"/>
    <n v="11"/>
  </r>
  <r>
    <x v="191"/>
    <n v="2.72"/>
    <n v="1.69"/>
    <n v="12"/>
  </r>
  <r>
    <x v="192"/>
    <n v="0.7"/>
    <n v="0.34"/>
    <n v="1"/>
  </r>
  <r>
    <x v="193"/>
    <n v="0.69"/>
    <n v="0.16"/>
    <n v="2"/>
  </r>
  <r>
    <x v="194"/>
    <n v="1.59"/>
    <n v="-0.32"/>
    <n v="3"/>
  </r>
  <r>
    <x v="195"/>
    <n v="5.27"/>
    <n v="1.1399999999999999"/>
    <n v="4"/>
  </r>
  <r>
    <x v="196"/>
    <n v="7.14"/>
    <n v="0.92"/>
    <n v="5"/>
  </r>
  <r>
    <x v="197"/>
    <n v="4.9800000000000004"/>
    <n v="0.08"/>
    <n v="6"/>
  </r>
  <r>
    <x v="198"/>
    <n v="2.99"/>
    <n v="-7.0000000000000007E-2"/>
    <n v="7"/>
  </r>
  <r>
    <x v="199"/>
    <n v="8.01"/>
    <n v="1.24"/>
    <n v="8"/>
  </r>
  <r>
    <x v="200"/>
    <n v="5.98"/>
    <n v="1.28"/>
    <n v="9"/>
  </r>
  <r>
    <x v="201"/>
    <n v="1.47"/>
    <n v="-0.64"/>
    <n v="10"/>
  </r>
  <r>
    <x v="202"/>
    <n v="0.69"/>
    <n v="-0.48"/>
    <n v="11"/>
  </r>
  <r>
    <x v="203"/>
    <n v="1.1200000000000001"/>
    <n v="0.33"/>
    <n v="12"/>
  </r>
  <r>
    <x v="204"/>
    <n v="1.03"/>
    <n v="0.83"/>
    <n v="1"/>
  </r>
  <r>
    <x v="205"/>
    <n v="0.27"/>
    <n v="-0.56000000000000005"/>
    <n v="2"/>
  </r>
  <r>
    <x v="206"/>
    <n v="2.76"/>
    <n v="0.83"/>
    <n v="3"/>
  </r>
  <r>
    <x v="207"/>
    <n v="7.16"/>
    <n v="1.91"/>
    <n v="4"/>
  </r>
  <r>
    <x v="208"/>
    <n v="3.26"/>
    <n v="-0.51"/>
    <n v="5"/>
  </r>
  <r>
    <x v="209"/>
    <n v="11.46"/>
    <n v="1.91"/>
    <n v="6"/>
  </r>
  <r>
    <x v="210"/>
    <n v="5.13"/>
    <n v="0.87"/>
    <n v="7"/>
  </r>
  <r>
    <x v="211"/>
    <n v="2.44"/>
    <n v="-0.37"/>
    <n v="8"/>
  </r>
  <r>
    <x v="212"/>
    <n v="0.91"/>
    <n v="-0.87"/>
    <n v="9"/>
  </r>
  <r>
    <x v="213"/>
    <n v="5.1100000000000003"/>
    <n v="1.35"/>
    <n v="10"/>
  </r>
  <r>
    <x v="214"/>
    <n v="0.47"/>
    <n v="-0.81"/>
    <n v="11"/>
  </r>
  <r>
    <x v="215"/>
    <n v="0.12"/>
    <n v="-1.48"/>
    <n v="12"/>
  </r>
  <r>
    <x v="216"/>
    <n v="0.45"/>
    <n v="-0.14000000000000001"/>
    <n v="1"/>
  </r>
  <r>
    <x v="217"/>
    <n v="0.4"/>
    <n v="-0.28000000000000003"/>
    <n v="2"/>
  </r>
  <r>
    <x v="218"/>
    <n v="1.43"/>
    <n v="-0.52"/>
    <n v="3"/>
  </r>
  <r>
    <x v="219"/>
    <n v="0.53"/>
    <n v="-2.72"/>
    <n v="4"/>
  </r>
  <r>
    <x v="220"/>
    <n v="1.55"/>
    <n v="-1.57"/>
    <n v="5"/>
  </r>
  <r>
    <x v="221"/>
    <n v="2.61"/>
    <n v="-1.02"/>
    <n v="6"/>
  </r>
  <r>
    <x v="222"/>
    <n v="1.21"/>
    <n v="-1.32"/>
    <n v="7"/>
  </r>
  <r>
    <x v="223"/>
    <n v="7.46"/>
    <n v="1.1299999999999999"/>
    <n v="8"/>
  </r>
  <r>
    <x v="224"/>
    <n v="2.3199999999999998"/>
    <n v="0.04"/>
    <n v="9"/>
  </r>
  <r>
    <x v="225"/>
    <n v="6.98"/>
    <n v="2"/>
    <n v="10"/>
  </r>
  <r>
    <x v="226"/>
    <n v="0.55000000000000004"/>
    <n v="-0.68"/>
    <n v="11"/>
  </r>
  <r>
    <x v="227"/>
    <n v="2.2200000000000002"/>
    <n v="1.34"/>
    <n v="12"/>
  </r>
  <r>
    <x v="228"/>
    <n v="0.69"/>
    <n v="0.33"/>
    <n v="1"/>
  </r>
  <r>
    <x v="229"/>
    <n v="1.66"/>
    <n v="1.07"/>
    <n v="2"/>
  </r>
  <r>
    <x v="230"/>
    <n v="3.73"/>
    <n v="1.55"/>
    <n v="3"/>
  </r>
  <r>
    <x v="231"/>
    <n v="2.17"/>
    <n v="-0.67"/>
    <n v="4"/>
  </r>
  <r>
    <x v="232"/>
    <n v="11.15"/>
    <n v="1.93"/>
    <n v="5"/>
  </r>
  <r>
    <x v="233"/>
    <n v="4.82"/>
    <n v="0.02"/>
    <n v="6"/>
  </r>
  <r>
    <x v="234"/>
    <n v="3.01"/>
    <n v="-0.06"/>
    <n v="7"/>
  </r>
  <r>
    <x v="235"/>
    <n v="5.13"/>
    <n v="0.56000000000000005"/>
    <n v="8"/>
  </r>
  <r>
    <x v="236"/>
    <n v="7.83"/>
    <n v="1.72"/>
    <n v="9"/>
  </r>
  <r>
    <x v="237"/>
    <n v="2.2400000000000002"/>
    <n v="-0.05"/>
    <n v="10"/>
  </r>
  <r>
    <x v="238"/>
    <n v="0.57999999999999996"/>
    <n v="-0.63"/>
    <n v="11"/>
  </r>
  <r>
    <x v="239"/>
    <n v="1.1599999999999999"/>
    <n v="0.37"/>
    <n v="12"/>
  </r>
  <r>
    <x v="240"/>
    <n v="1.64"/>
    <n v="1.51"/>
    <n v="1"/>
  </r>
  <r>
    <x v="241"/>
    <n v="0.18"/>
    <n v="-0.83"/>
    <n v="2"/>
  </r>
  <r>
    <x v="242"/>
    <n v="2.2400000000000002"/>
    <n v="0.37"/>
    <n v="3"/>
  </r>
  <r>
    <x v="243"/>
    <n v="2.62"/>
    <n v="-0.33"/>
    <n v="4"/>
  </r>
  <r>
    <x v="244"/>
    <n v="5.85"/>
    <n v="0.52"/>
    <n v="5"/>
  </r>
  <r>
    <x v="245"/>
    <n v="2.87"/>
    <n v="-0.87"/>
    <n v="6"/>
  </r>
  <r>
    <x v="246"/>
    <n v="8.65"/>
    <n v="1.96"/>
    <n v="7"/>
  </r>
  <r>
    <x v="247"/>
    <n v="2.25"/>
    <n v="-0.46"/>
    <n v="8"/>
  </r>
  <r>
    <x v="248"/>
    <n v="1.97"/>
    <n v="-0.14000000000000001"/>
    <n v="9"/>
  </r>
  <r>
    <x v="249"/>
    <n v="0.75"/>
    <n v="-1.43"/>
    <n v="10"/>
  </r>
  <r>
    <x v="250"/>
    <n v="3.12"/>
    <n v="1.24"/>
    <n v="11"/>
  </r>
  <r>
    <x v="251"/>
    <n v="0.5"/>
    <n v="-0.56999999999999995"/>
    <n v="12"/>
  </r>
  <r>
    <x v="252"/>
    <n v="1.45"/>
    <n v="1.32"/>
    <n v="1"/>
  </r>
  <r>
    <x v="253"/>
    <n v="0.06"/>
    <n v="-1.43"/>
    <n v="2"/>
  </r>
  <r>
    <x v="254"/>
    <n v="3.47"/>
    <n v="1.37"/>
    <n v="3"/>
  </r>
  <r>
    <x v="255"/>
    <n v="2.09"/>
    <n v="-0.74"/>
    <n v="4"/>
  </r>
  <r>
    <x v="256"/>
    <n v="3.65"/>
    <n v="-0.32"/>
    <n v="5"/>
  </r>
  <r>
    <x v="257"/>
    <n v="5.97"/>
    <n v="0.44"/>
    <n v="6"/>
  </r>
  <r>
    <x v="258"/>
    <n v="3.42"/>
    <n v="0.15"/>
    <n v="7"/>
  </r>
  <r>
    <x v="259"/>
    <n v="2.59"/>
    <n v="-0.3"/>
    <n v="8"/>
  </r>
  <r>
    <x v="260"/>
    <n v="0.33"/>
    <n v="-1.63"/>
    <n v="9"/>
  </r>
  <r>
    <x v="261"/>
    <n v="4.95"/>
    <n v="1.29"/>
    <n v="10"/>
  </r>
  <r>
    <x v="262"/>
    <n v="2.12"/>
    <n v="0.71"/>
    <n v="11"/>
  </r>
  <r>
    <x v="263"/>
    <n v="0.37"/>
    <n v="-0.83"/>
    <n v="12"/>
  </r>
  <r>
    <x v="264"/>
    <n v="0.62"/>
    <n v="0.2"/>
    <n v="1"/>
  </r>
  <r>
    <x v="265"/>
    <n v="0.05"/>
    <n v="-1.51"/>
    <n v="2"/>
  </r>
  <r>
    <x v="266"/>
    <n v="2.98"/>
    <n v="1"/>
    <n v="3"/>
  </r>
  <r>
    <x v="267"/>
    <n v="3.4"/>
    <n v="0.18"/>
    <n v="4"/>
  </r>
  <r>
    <x v="268"/>
    <n v="6.83"/>
    <n v="0.83"/>
    <n v="5"/>
  </r>
  <r>
    <x v="269"/>
    <n v="4.55"/>
    <n v="-0.08"/>
    <n v="6"/>
  </r>
  <r>
    <x v="270"/>
    <n v="3.38"/>
    <n v="0.13"/>
    <n v="7"/>
  </r>
  <r>
    <x v="271"/>
    <n v="3.19"/>
    <n v="-0.06"/>
    <n v="8"/>
  </r>
  <r>
    <x v="272"/>
    <n v="0.84"/>
    <n v="-0.93"/>
    <n v="9"/>
  </r>
  <r>
    <x v="273"/>
    <n v="1.29"/>
    <n v="-0.8"/>
    <n v="10"/>
  </r>
  <r>
    <x v="274"/>
    <n v="3.1"/>
    <n v="1.23"/>
    <n v="11"/>
  </r>
  <r>
    <x v="275"/>
    <n v="0.98"/>
    <n v="0.16"/>
    <n v="12"/>
  </r>
  <r>
    <x v="276"/>
    <n v="1.06"/>
    <n v="0.87"/>
    <n v="1"/>
  </r>
  <r>
    <x v="277"/>
    <n v="2.35"/>
    <n v="1.52"/>
    <n v="2"/>
  </r>
  <r>
    <x v="278"/>
    <n v="1.43"/>
    <n v="-0.52"/>
    <n v="3"/>
  </r>
  <r>
    <x v="279"/>
    <n v="1.77"/>
    <n v="-1.02"/>
    <n v="4"/>
  </r>
  <r>
    <x v="280"/>
    <n v="3.15"/>
    <n v="-0.56000000000000005"/>
    <n v="5"/>
  </r>
  <r>
    <x v="281"/>
    <n v="4.5"/>
    <n v="-0.11"/>
    <n v="6"/>
  </r>
  <r>
    <x v="282"/>
    <n v="4.37"/>
    <n v="0.56999999999999995"/>
    <n v="7"/>
  </r>
  <r>
    <x v="283"/>
    <n v="7.1"/>
    <n v="1.05"/>
    <n v="8"/>
  </r>
  <r>
    <x v="284"/>
    <n v="0.33"/>
    <n v="-1.63"/>
    <n v="9"/>
  </r>
  <r>
    <x v="285"/>
    <n v="2.0299999999999998"/>
    <n v="-0.2"/>
    <n v="10"/>
  </r>
  <r>
    <x v="286"/>
    <n v="0.6"/>
    <n v="-0.61"/>
    <n v="11"/>
  </r>
  <r>
    <x v="287"/>
    <n v="2.27"/>
    <n v="1.37"/>
    <n v="12"/>
  </r>
  <r>
    <x v="288"/>
    <n v="0.87"/>
    <n v="0.61"/>
    <n v="1"/>
  </r>
  <r>
    <x v="289"/>
    <n v="0.1"/>
    <n v="-1.1599999999999999"/>
    <n v="2"/>
  </r>
  <r>
    <x v="290"/>
    <n v="1.42"/>
    <n v="-0.54"/>
    <n v="3"/>
  </r>
  <r>
    <x v="291"/>
    <n v="3.34"/>
    <n v="0.14000000000000001"/>
    <n v="4"/>
  </r>
  <r>
    <x v="292"/>
    <n v="6.15"/>
    <n v="0.6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D63F0-EB58-4589-9B6B-3E46EF83E6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numFmtId="14" showAll="0">
      <items count="2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C251-59C1-457E-9498-265BA7133464}">
  <dimension ref="A3:C20"/>
  <sheetViews>
    <sheetView workbookViewId="0">
      <selection activeCell="A3" sqref="A3"/>
    </sheetView>
  </sheetViews>
  <sheetFormatPr defaultRowHeight="15" x14ac:dyDescent="0.25"/>
  <cols>
    <col min="1" max="2" width="13.7109375" bestFit="1" customWidth="1"/>
  </cols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4"/>
  <sheetViews>
    <sheetView tabSelected="1" topLeftCell="E1" zoomScale="115" zoomScaleNormal="115" workbookViewId="0">
      <selection activeCell="E2" sqref="E2"/>
    </sheetView>
  </sheetViews>
  <sheetFormatPr defaultRowHeight="15" x14ac:dyDescent="0.25"/>
  <cols>
    <col min="1" max="1" width="10.8554687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5</v>
      </c>
      <c r="I1" t="s">
        <v>6</v>
      </c>
      <c r="J1" t="s">
        <v>6</v>
      </c>
      <c r="K1" t="s">
        <v>7</v>
      </c>
      <c r="L1" t="s">
        <v>7</v>
      </c>
      <c r="M1" t="s">
        <v>8</v>
      </c>
      <c r="N1" t="s">
        <v>8</v>
      </c>
      <c r="O1" t="s">
        <v>9</v>
      </c>
      <c r="P1" t="s">
        <v>9</v>
      </c>
      <c r="Q1" t="s">
        <v>10</v>
      </c>
      <c r="R1" t="s">
        <v>10</v>
      </c>
      <c r="S1" t="s">
        <v>11</v>
      </c>
      <c r="T1" t="s">
        <v>11</v>
      </c>
      <c r="U1" t="s">
        <v>12</v>
      </c>
      <c r="V1" t="s">
        <v>12</v>
      </c>
      <c r="W1" t="s">
        <v>13</v>
      </c>
      <c r="X1" t="s">
        <v>13</v>
      </c>
      <c r="Y1" t="s">
        <v>14</v>
      </c>
      <c r="Z1" t="s">
        <v>14</v>
      </c>
      <c r="AA1" t="s">
        <v>15</v>
      </c>
      <c r="AB1" t="s">
        <v>15</v>
      </c>
    </row>
    <row r="2" spans="1:28" x14ac:dyDescent="0.25">
      <c r="A2" s="1">
        <v>36526</v>
      </c>
      <c r="B2">
        <v>0.08</v>
      </c>
      <c r="C2">
        <v>-1.54</v>
      </c>
      <c r="D2">
        <f>MONTH(A2)</f>
        <v>1</v>
      </c>
      <c r="E2" cm="1">
        <f t="array" ref="E2:E26">_xlfn._xlws.FILTER($B$2:$B$294,$D$2:$D$294=1,"")</f>
        <v>0.08</v>
      </c>
      <c r="F2" cm="1">
        <f t="array" ref="F2:F26">_xlfn._xlws.FILTER($C$2:$C$294,$D$2:$D$294=1,"")</f>
        <v>-1.54</v>
      </c>
      <c r="G2" cm="1">
        <f t="array" ref="G2:G26">_xlfn._xlws.FILTER($B$2:$B$294,$D$2:$D$294=2,"")</f>
        <v>1.33</v>
      </c>
      <c r="H2" cm="1">
        <f t="array" ref="H2:H26">_xlfn._xlws.FILTER($C$2:$C$294,$D$2:$D$294=2,"")</f>
        <v>0.81</v>
      </c>
      <c r="I2" cm="1">
        <f t="array" ref="I2:I26">_xlfn._xlws.FILTER($B$2:$B$294,$D$2:$D$294=3,"")</f>
        <v>1.02</v>
      </c>
      <c r="J2" cm="1">
        <f t="array" ref="J2:J26">_xlfn._xlws.FILTER($C$2:$C$294,$D$2:$D$294=3,"")</f>
        <v>-1.1100000000000001</v>
      </c>
      <c r="K2" cm="1">
        <f t="array" ref="K2:K26">_xlfn._xlws.FILTER($B$2:$B$294,$D$2:$D$294=4,"")</f>
        <v>2.16</v>
      </c>
      <c r="L2" cm="1">
        <f t="array" ref="L2:L26">_xlfn._xlws.FILTER($C$2:$C$294,$D$2:$D$294=4,"")</f>
        <v>-0.68</v>
      </c>
      <c r="M2" cm="1">
        <f t="array" ref="M2:M26">_xlfn._xlws.FILTER($B$2:$B$294,$D$2:$D$294=5,"")</f>
        <v>1.61</v>
      </c>
      <c r="N2" cm="1">
        <f t="array" ref="N2:N26">_xlfn._xlws.FILTER($C$2:$C$294,$D$2:$D$294=5,"")</f>
        <v>-1.52</v>
      </c>
      <c r="O2" cm="1">
        <f t="array" ref="O2:O25">_xlfn._xlws.FILTER($B$2:$B$294,$D$2:$D$294=6,"")</f>
        <v>5.26</v>
      </c>
      <c r="P2" cm="1">
        <f t="array" ref="P2:P25">_xlfn._xlws.FILTER($C$2:$C$294,$D$2:$D$294=6,"")</f>
        <v>0.19</v>
      </c>
      <c r="Q2" cm="1">
        <f t="array" ref="Q2:Q25">_xlfn._xlws.FILTER($B$2:$B$294,$D$2:$D$294=7,"")</f>
        <v>2.9</v>
      </c>
      <c r="R2" cm="1">
        <f t="array" ref="R2:R25">_xlfn._xlws.FILTER($C$2:$C$294,$D$2:$D$294=7,"")</f>
        <v>-0.12</v>
      </c>
      <c r="S2" cm="1">
        <f t="array" ref="S2:S25">_xlfn._xlws.FILTER($B$2:$B$294,$D$2:$D$294=8,"")</f>
        <v>1.69</v>
      </c>
      <c r="T2" cm="1">
        <f t="array" ref="T2:T25">_xlfn._xlws.FILTER($C$2:$C$294,$D$2:$D$294=8,"")</f>
        <v>-0.76</v>
      </c>
      <c r="U2" cm="1">
        <f t="array" ref="U2:U25">_xlfn._xlws.FILTER($B$2:$B$294,$D$2:$D$294=9,"")</f>
        <v>2.68</v>
      </c>
      <c r="V2" cm="1">
        <f t="array" ref="V2:V25">_xlfn._xlws.FILTER($C$2:$C$294,$D$2:$D$294=9,"")</f>
        <v>0.2</v>
      </c>
      <c r="W2" cm="1">
        <f t="array" ref="W2:W25">_xlfn._xlws.FILTER($B$2:$B$294,$D$2:$D$294=10,"")</f>
        <v>1.42</v>
      </c>
      <c r="X2" cm="1">
        <f t="array" ref="X2:X25">_xlfn._xlws.FILTER($C$2:$C$294,$D$2:$D$294=10,"")</f>
        <v>-0.68</v>
      </c>
      <c r="Y2" cm="1">
        <f t="array" ref="Y2:Y25">_xlfn._xlws.FILTER($B$2:$B$294,$D$2:$D$294=11,"")</f>
        <v>2.27</v>
      </c>
      <c r="Z2" cm="1">
        <f t="array" ref="Z2:Z25">_xlfn._xlws.FILTER($C$2:$C$294,$D$2:$D$294=11,"")</f>
        <v>0.8</v>
      </c>
      <c r="AA2" cm="1">
        <f t="array" ref="AA2:AA25">_xlfn._xlws.FILTER($B$2:$B$294,$D$2:$D$294=12,"")</f>
        <v>0.22</v>
      </c>
      <c r="AB2" cm="1">
        <f t="array" ref="AB2:AB25">_xlfn._xlws.FILTER($C$2:$C$294,$D$2:$D$294=12,"")</f>
        <v>-1.2</v>
      </c>
    </row>
    <row r="3" spans="1:28" x14ac:dyDescent="0.25">
      <c r="A3" s="1">
        <v>36557</v>
      </c>
      <c r="B3">
        <v>1.33</v>
      </c>
      <c r="C3">
        <v>0.81</v>
      </c>
      <c r="D3">
        <f t="shared" ref="D3:D66" si="0">MONTH(A3)</f>
        <v>2</v>
      </c>
      <c r="E3">
        <v>2.1</v>
      </c>
      <c r="F3">
        <v>1.92</v>
      </c>
      <c r="G3">
        <v>3.03</v>
      </c>
      <c r="H3">
        <v>1.89</v>
      </c>
      <c r="I3">
        <v>1.8</v>
      </c>
      <c r="J3">
        <v>-0.08</v>
      </c>
      <c r="K3">
        <v>1.76</v>
      </c>
      <c r="L3">
        <v>-1.03</v>
      </c>
      <c r="M3">
        <v>4.57</v>
      </c>
      <c r="N3">
        <v>0.06</v>
      </c>
      <c r="O3">
        <v>7.53</v>
      </c>
      <c r="P3">
        <v>0.92</v>
      </c>
      <c r="Q3">
        <v>7.2</v>
      </c>
      <c r="R3">
        <v>1.55</v>
      </c>
      <c r="S3">
        <v>1.31</v>
      </c>
      <c r="T3">
        <v>-1</v>
      </c>
      <c r="U3">
        <v>3.42</v>
      </c>
      <c r="V3">
        <v>0.5</v>
      </c>
      <c r="W3">
        <v>1.95</v>
      </c>
      <c r="X3">
        <v>-0.25</v>
      </c>
      <c r="Y3">
        <v>0.37</v>
      </c>
      <c r="Z3">
        <v>-1</v>
      </c>
      <c r="AA3">
        <v>0.62</v>
      </c>
      <c r="AB3">
        <v>-0.36</v>
      </c>
    </row>
    <row r="4" spans="1:28" x14ac:dyDescent="0.25">
      <c r="A4" s="1">
        <v>36586</v>
      </c>
      <c r="B4">
        <v>1.02</v>
      </c>
      <c r="C4">
        <v>-1.1100000000000001</v>
      </c>
      <c r="D4">
        <f t="shared" si="0"/>
        <v>3</v>
      </c>
      <c r="E4">
        <v>0.13</v>
      </c>
      <c r="F4">
        <v>-1.2</v>
      </c>
      <c r="G4">
        <v>0.49</v>
      </c>
      <c r="H4">
        <v>-0.13</v>
      </c>
      <c r="I4">
        <v>1.47</v>
      </c>
      <c r="J4">
        <v>-0.47</v>
      </c>
      <c r="K4">
        <v>3.85</v>
      </c>
      <c r="L4">
        <v>0.44</v>
      </c>
      <c r="M4">
        <v>4.45</v>
      </c>
      <c r="N4">
        <v>0.02</v>
      </c>
      <c r="O4">
        <v>1.47</v>
      </c>
      <c r="P4">
        <v>-1.84</v>
      </c>
      <c r="Q4">
        <v>1.55</v>
      </c>
      <c r="R4">
        <v>-1.01</v>
      </c>
      <c r="S4">
        <v>3.56</v>
      </c>
      <c r="T4">
        <v>7.0000000000000007E-2</v>
      </c>
      <c r="U4">
        <v>0.79</v>
      </c>
      <c r="V4">
        <v>-0.98</v>
      </c>
      <c r="W4">
        <v>2.95</v>
      </c>
      <c r="X4">
        <v>0.37</v>
      </c>
      <c r="Y4">
        <v>0.26</v>
      </c>
      <c r="Z4">
        <v>-1.25</v>
      </c>
      <c r="AA4">
        <v>0</v>
      </c>
      <c r="AB4">
        <v>-1.73</v>
      </c>
    </row>
    <row r="5" spans="1:28" x14ac:dyDescent="0.25">
      <c r="A5" s="1">
        <v>36617</v>
      </c>
      <c r="B5">
        <v>2.16</v>
      </c>
      <c r="C5">
        <v>-0.68</v>
      </c>
      <c r="D5">
        <f t="shared" si="0"/>
        <v>4</v>
      </c>
      <c r="E5">
        <v>0.13</v>
      </c>
      <c r="F5">
        <v>-1.2</v>
      </c>
      <c r="G5">
        <v>0.52</v>
      </c>
      <c r="H5">
        <v>-0.08</v>
      </c>
      <c r="I5">
        <v>1</v>
      </c>
      <c r="J5">
        <v>-1.1499999999999999</v>
      </c>
      <c r="K5">
        <v>3.86</v>
      </c>
      <c r="L5">
        <v>0.44</v>
      </c>
      <c r="M5">
        <v>3.43</v>
      </c>
      <c r="N5">
        <v>-0.42</v>
      </c>
      <c r="O5">
        <v>4.78</v>
      </c>
      <c r="P5">
        <v>0.01</v>
      </c>
      <c r="Q5">
        <v>1.47</v>
      </c>
      <c r="R5">
        <v>-1.08</v>
      </c>
      <c r="S5">
        <v>1.37</v>
      </c>
      <c r="T5">
        <v>-0.96</v>
      </c>
      <c r="U5">
        <v>2.3199999999999998</v>
      </c>
      <c r="V5">
        <v>0.04</v>
      </c>
      <c r="W5">
        <v>1.27</v>
      </c>
      <c r="X5">
        <v>-0.82</v>
      </c>
      <c r="Y5">
        <v>1.28</v>
      </c>
      <c r="Z5">
        <v>0.12</v>
      </c>
      <c r="AA5">
        <v>1.55</v>
      </c>
      <c r="AB5">
        <v>0.77</v>
      </c>
    </row>
    <row r="6" spans="1:28" x14ac:dyDescent="0.25">
      <c r="A6" s="1">
        <v>36647</v>
      </c>
      <c r="B6">
        <v>1.61</v>
      </c>
      <c r="C6">
        <v>-1.52</v>
      </c>
      <c r="D6">
        <f t="shared" si="0"/>
        <v>5</v>
      </c>
      <c r="E6">
        <v>0.47</v>
      </c>
      <c r="F6">
        <v>-0.09</v>
      </c>
      <c r="G6">
        <v>0.36</v>
      </c>
      <c r="H6">
        <v>-0.36</v>
      </c>
      <c r="I6">
        <v>4.62</v>
      </c>
      <c r="J6">
        <v>2.12</v>
      </c>
      <c r="K6">
        <v>1.51</v>
      </c>
      <c r="L6">
        <v>-1.28</v>
      </c>
      <c r="M6">
        <v>7.47</v>
      </c>
      <c r="N6">
        <v>1.02</v>
      </c>
      <c r="O6">
        <v>6.66</v>
      </c>
      <c r="P6">
        <v>0.66</v>
      </c>
      <c r="Q6">
        <v>3.55</v>
      </c>
      <c r="R6">
        <v>0.21</v>
      </c>
      <c r="S6">
        <v>4.8099999999999996</v>
      </c>
      <c r="T6">
        <v>0.47</v>
      </c>
      <c r="U6">
        <v>2.61</v>
      </c>
      <c r="V6">
        <v>0.17</v>
      </c>
      <c r="W6">
        <v>1.77</v>
      </c>
      <c r="X6">
        <v>-0.39</v>
      </c>
      <c r="Y6">
        <v>1.46</v>
      </c>
      <c r="Z6">
        <v>0.27</v>
      </c>
      <c r="AA6">
        <v>0.31</v>
      </c>
      <c r="AB6">
        <v>-0.97</v>
      </c>
    </row>
    <row r="7" spans="1:28" x14ac:dyDescent="0.25">
      <c r="A7" s="1">
        <v>36678</v>
      </c>
      <c r="B7">
        <v>5.26</v>
      </c>
      <c r="C7">
        <v>0.19</v>
      </c>
      <c r="D7">
        <f t="shared" si="0"/>
        <v>6</v>
      </c>
      <c r="E7">
        <v>1.02</v>
      </c>
      <c r="F7">
        <v>0.82</v>
      </c>
      <c r="G7">
        <v>2.23</v>
      </c>
      <c r="H7">
        <v>1.45</v>
      </c>
      <c r="I7">
        <v>0.89</v>
      </c>
      <c r="J7">
        <v>-1.34</v>
      </c>
      <c r="K7">
        <v>4.88</v>
      </c>
      <c r="L7">
        <v>0.96</v>
      </c>
      <c r="M7">
        <v>1.45</v>
      </c>
      <c r="N7">
        <v>-1.66</v>
      </c>
      <c r="O7">
        <v>5.8</v>
      </c>
      <c r="P7">
        <v>0.38</v>
      </c>
      <c r="Q7">
        <v>4.18</v>
      </c>
      <c r="R7">
        <v>0.49</v>
      </c>
      <c r="S7">
        <v>1.97</v>
      </c>
      <c r="T7">
        <v>-0.6</v>
      </c>
      <c r="U7">
        <v>1.48</v>
      </c>
      <c r="V7">
        <v>-0.43</v>
      </c>
      <c r="W7">
        <v>2.71</v>
      </c>
      <c r="X7">
        <v>0.23</v>
      </c>
      <c r="Y7">
        <v>1.42</v>
      </c>
      <c r="Z7">
        <v>0.24</v>
      </c>
      <c r="AA7">
        <v>1.1000000000000001</v>
      </c>
      <c r="AB7">
        <v>0.3</v>
      </c>
    </row>
    <row r="8" spans="1:28" x14ac:dyDescent="0.25">
      <c r="A8" s="1">
        <v>36708</v>
      </c>
      <c r="B8">
        <v>2.9</v>
      </c>
      <c r="C8">
        <v>-0.12</v>
      </c>
      <c r="D8">
        <f t="shared" si="0"/>
        <v>7</v>
      </c>
      <c r="E8">
        <v>0.89</v>
      </c>
      <c r="F8">
        <v>0.64</v>
      </c>
      <c r="G8">
        <v>0.01</v>
      </c>
      <c r="H8">
        <v>-2.1800000000000002</v>
      </c>
      <c r="I8">
        <v>1.43</v>
      </c>
      <c r="J8">
        <v>-0.52</v>
      </c>
      <c r="K8">
        <v>4.3899999999999997</v>
      </c>
      <c r="L8">
        <v>0.72</v>
      </c>
      <c r="M8">
        <v>1.07</v>
      </c>
      <c r="N8">
        <v>-2.0299999999999998</v>
      </c>
      <c r="O8">
        <v>3.76</v>
      </c>
      <c r="P8">
        <v>-0.42</v>
      </c>
      <c r="Q8">
        <v>1.89</v>
      </c>
      <c r="R8">
        <v>-0.75</v>
      </c>
      <c r="S8">
        <v>9.26</v>
      </c>
      <c r="T8">
        <v>1.49</v>
      </c>
      <c r="U8">
        <v>3.85</v>
      </c>
      <c r="V8">
        <v>0.65</v>
      </c>
      <c r="W8">
        <v>3.04</v>
      </c>
      <c r="X8">
        <v>0.42</v>
      </c>
      <c r="Y8">
        <v>1.17</v>
      </c>
      <c r="Z8">
        <v>0.03</v>
      </c>
      <c r="AA8">
        <v>1.37</v>
      </c>
      <c r="AB8">
        <v>0.6</v>
      </c>
    </row>
    <row r="9" spans="1:28" x14ac:dyDescent="0.25">
      <c r="A9" s="1">
        <v>36739</v>
      </c>
      <c r="B9">
        <v>1.69</v>
      </c>
      <c r="C9">
        <v>-0.76</v>
      </c>
      <c r="D9">
        <f t="shared" si="0"/>
        <v>8</v>
      </c>
      <c r="E9">
        <v>0.35</v>
      </c>
      <c r="F9">
        <v>-0.38</v>
      </c>
      <c r="G9">
        <v>0.7</v>
      </c>
      <c r="H9">
        <v>0.18</v>
      </c>
      <c r="I9">
        <v>2.6</v>
      </c>
      <c r="J9">
        <v>0.69</v>
      </c>
      <c r="K9">
        <v>2.14</v>
      </c>
      <c r="L9">
        <v>-0.7</v>
      </c>
      <c r="M9">
        <v>9.49</v>
      </c>
      <c r="N9">
        <v>1.54</v>
      </c>
      <c r="O9">
        <v>1.1100000000000001</v>
      </c>
      <c r="P9">
        <v>-2.2000000000000002</v>
      </c>
      <c r="Q9">
        <v>2.31</v>
      </c>
      <c r="R9">
        <v>-0.46</v>
      </c>
      <c r="S9">
        <v>6.19</v>
      </c>
      <c r="T9">
        <v>0.83</v>
      </c>
      <c r="U9">
        <v>2.19</v>
      </c>
      <c r="V9">
        <v>-0.02</v>
      </c>
      <c r="W9">
        <v>3.7</v>
      </c>
      <c r="X9">
        <v>0.75</v>
      </c>
      <c r="Y9">
        <v>0.02</v>
      </c>
      <c r="Z9">
        <v>-2.66</v>
      </c>
      <c r="AA9">
        <v>1.39</v>
      </c>
      <c r="AB9">
        <v>0.62</v>
      </c>
    </row>
    <row r="10" spans="1:28" x14ac:dyDescent="0.25">
      <c r="A10" s="1">
        <v>36770</v>
      </c>
      <c r="B10">
        <v>2.68</v>
      </c>
      <c r="C10">
        <v>0.2</v>
      </c>
      <c r="D10">
        <f t="shared" si="0"/>
        <v>9</v>
      </c>
      <c r="E10">
        <v>0.39</v>
      </c>
      <c r="F10">
        <v>-0.28000000000000003</v>
      </c>
      <c r="G10">
        <v>1.79</v>
      </c>
      <c r="H10">
        <v>1.1599999999999999</v>
      </c>
      <c r="I10">
        <v>1.82</v>
      </c>
      <c r="J10">
        <v>-0.06</v>
      </c>
      <c r="K10">
        <v>5.85</v>
      </c>
      <c r="L10">
        <v>1.39</v>
      </c>
      <c r="M10">
        <v>3.73</v>
      </c>
      <c r="N10">
        <v>-0.28999999999999998</v>
      </c>
      <c r="O10">
        <v>9.2200000000000006</v>
      </c>
      <c r="P10">
        <v>1.38</v>
      </c>
      <c r="Q10">
        <v>1.64</v>
      </c>
      <c r="R10">
        <v>-0.94</v>
      </c>
      <c r="S10">
        <v>1.06</v>
      </c>
      <c r="T10">
        <v>-1.2</v>
      </c>
      <c r="U10">
        <v>7.52</v>
      </c>
      <c r="V10">
        <v>1.65</v>
      </c>
      <c r="W10">
        <v>3.7</v>
      </c>
      <c r="X10">
        <v>0.75</v>
      </c>
      <c r="Y10">
        <v>1.19</v>
      </c>
      <c r="Z10">
        <v>0.04</v>
      </c>
      <c r="AA10">
        <v>0.97</v>
      </c>
      <c r="AB10">
        <v>0.15</v>
      </c>
    </row>
    <row r="11" spans="1:28" x14ac:dyDescent="0.25">
      <c r="A11" s="1">
        <v>36800</v>
      </c>
      <c r="B11">
        <v>1.42</v>
      </c>
      <c r="C11">
        <v>-0.68</v>
      </c>
      <c r="D11">
        <f t="shared" si="0"/>
        <v>10</v>
      </c>
      <c r="E11">
        <v>0.03</v>
      </c>
      <c r="F11">
        <v>-2.12</v>
      </c>
      <c r="G11">
        <v>0.28999999999999998</v>
      </c>
      <c r="H11">
        <v>-0.52</v>
      </c>
      <c r="I11">
        <v>3.5</v>
      </c>
      <c r="J11">
        <v>1.39</v>
      </c>
      <c r="K11">
        <v>4.68</v>
      </c>
      <c r="L11">
        <v>0.87</v>
      </c>
      <c r="M11">
        <v>5.98</v>
      </c>
      <c r="N11">
        <v>0.56000000000000005</v>
      </c>
      <c r="O11">
        <v>7.42</v>
      </c>
      <c r="P11">
        <v>0.89</v>
      </c>
      <c r="Q11">
        <v>2.67</v>
      </c>
      <c r="R11">
        <v>-0.24</v>
      </c>
      <c r="S11">
        <v>5.77</v>
      </c>
      <c r="T11">
        <v>0.73</v>
      </c>
      <c r="U11">
        <v>0.53</v>
      </c>
      <c r="V11">
        <v>-1.29</v>
      </c>
      <c r="W11">
        <v>4.42</v>
      </c>
      <c r="X11">
        <v>1.07</v>
      </c>
      <c r="Y11">
        <v>2.4900000000000002</v>
      </c>
      <c r="Z11">
        <v>0.92</v>
      </c>
      <c r="AA11">
        <v>0.94</v>
      </c>
      <c r="AB11">
        <v>0.11</v>
      </c>
    </row>
    <row r="12" spans="1:28" x14ac:dyDescent="0.25">
      <c r="A12" s="1">
        <v>36831</v>
      </c>
      <c r="B12">
        <v>2.27</v>
      </c>
      <c r="C12">
        <v>0.8</v>
      </c>
      <c r="D12">
        <f t="shared" si="0"/>
        <v>11</v>
      </c>
      <c r="E12">
        <v>0.37</v>
      </c>
      <c r="F12">
        <v>-0.33</v>
      </c>
      <c r="G12">
        <v>0.38</v>
      </c>
      <c r="H12">
        <v>-0.32</v>
      </c>
      <c r="I12">
        <v>2.54</v>
      </c>
      <c r="J12">
        <v>0.64</v>
      </c>
      <c r="K12">
        <v>4.54</v>
      </c>
      <c r="L12">
        <v>0.8</v>
      </c>
      <c r="M12">
        <v>6.36</v>
      </c>
      <c r="N12">
        <v>0.69</v>
      </c>
      <c r="O12">
        <v>7.85</v>
      </c>
      <c r="P12">
        <v>1.02</v>
      </c>
      <c r="Q12">
        <v>3.05</v>
      </c>
      <c r="R12">
        <v>-0.04</v>
      </c>
      <c r="S12">
        <v>1.44</v>
      </c>
      <c r="T12">
        <v>-0.91</v>
      </c>
      <c r="U12">
        <v>6.63</v>
      </c>
      <c r="V12">
        <v>1.44</v>
      </c>
      <c r="W12">
        <v>1.52</v>
      </c>
      <c r="X12">
        <v>-0.59</v>
      </c>
      <c r="Y12">
        <v>1.52</v>
      </c>
      <c r="Z12">
        <v>0.31</v>
      </c>
      <c r="AA12">
        <v>0.24</v>
      </c>
      <c r="AB12">
        <v>-1.1399999999999999</v>
      </c>
    </row>
    <row r="13" spans="1:28" x14ac:dyDescent="0.25">
      <c r="A13" s="1">
        <v>36861</v>
      </c>
      <c r="B13">
        <v>0.22</v>
      </c>
      <c r="C13">
        <v>-1.2</v>
      </c>
      <c r="D13">
        <f t="shared" si="0"/>
        <v>12</v>
      </c>
      <c r="E13">
        <v>0.3</v>
      </c>
      <c r="F13">
        <v>-0.53</v>
      </c>
      <c r="G13">
        <v>0.27</v>
      </c>
      <c r="H13">
        <v>-0.56000000000000005</v>
      </c>
      <c r="I13">
        <v>1.38</v>
      </c>
      <c r="J13">
        <v>-0.59</v>
      </c>
      <c r="K13">
        <v>4.04</v>
      </c>
      <c r="L13">
        <v>0.54</v>
      </c>
      <c r="M13">
        <v>4.7</v>
      </c>
      <c r="N13">
        <v>0.11</v>
      </c>
      <c r="O13">
        <v>2.97</v>
      </c>
      <c r="P13">
        <v>-0.82</v>
      </c>
      <c r="Q13">
        <v>2.27</v>
      </c>
      <c r="R13">
        <v>-0.49</v>
      </c>
      <c r="S13">
        <v>4.8099999999999996</v>
      </c>
      <c r="T13">
        <v>0.47</v>
      </c>
      <c r="U13">
        <v>0.64</v>
      </c>
      <c r="V13">
        <v>-1.1499999999999999</v>
      </c>
      <c r="W13">
        <v>0.24</v>
      </c>
      <c r="X13">
        <v>-2.5</v>
      </c>
      <c r="Y13">
        <v>3.5</v>
      </c>
      <c r="Z13">
        <v>1.41</v>
      </c>
      <c r="AA13">
        <v>2.77</v>
      </c>
      <c r="AB13">
        <v>1.72</v>
      </c>
    </row>
    <row r="14" spans="1:28" x14ac:dyDescent="0.25">
      <c r="A14" s="1">
        <v>36892</v>
      </c>
      <c r="B14">
        <v>2.1</v>
      </c>
      <c r="C14">
        <v>1.92</v>
      </c>
      <c r="D14">
        <f t="shared" si="0"/>
        <v>1</v>
      </c>
      <c r="E14">
        <v>0.28999999999999998</v>
      </c>
      <c r="F14">
        <v>-0.56000000000000005</v>
      </c>
      <c r="G14">
        <v>1.98</v>
      </c>
      <c r="H14">
        <v>1.29</v>
      </c>
      <c r="I14">
        <v>2.76</v>
      </c>
      <c r="J14">
        <v>0.83</v>
      </c>
      <c r="K14">
        <v>3.2</v>
      </c>
      <c r="L14">
        <v>0.06</v>
      </c>
      <c r="M14">
        <v>2.96</v>
      </c>
      <c r="N14">
        <v>-0.66</v>
      </c>
      <c r="O14">
        <v>1.92</v>
      </c>
      <c r="P14">
        <v>-1.48</v>
      </c>
      <c r="Q14">
        <v>2</v>
      </c>
      <c r="R14">
        <v>-0.67</v>
      </c>
      <c r="S14">
        <v>3.08</v>
      </c>
      <c r="T14">
        <v>-0.1</v>
      </c>
      <c r="U14">
        <v>0.79</v>
      </c>
      <c r="V14">
        <v>-0.98</v>
      </c>
      <c r="W14">
        <v>1.83</v>
      </c>
      <c r="X14">
        <v>-0.34</v>
      </c>
      <c r="Y14">
        <v>1.71</v>
      </c>
      <c r="Z14">
        <v>0.45</v>
      </c>
      <c r="AA14">
        <v>1.0900000000000001</v>
      </c>
      <c r="AB14">
        <v>0.28999999999999998</v>
      </c>
    </row>
    <row r="15" spans="1:28" x14ac:dyDescent="0.25">
      <c r="A15" s="1">
        <v>36923</v>
      </c>
      <c r="B15">
        <v>3.03</v>
      </c>
      <c r="C15">
        <v>1.89</v>
      </c>
      <c r="D15">
        <f t="shared" si="0"/>
        <v>2</v>
      </c>
      <c r="E15">
        <v>1.02</v>
      </c>
      <c r="F15">
        <v>0.82</v>
      </c>
      <c r="G15">
        <v>0.66</v>
      </c>
      <c r="H15">
        <v>0.12</v>
      </c>
      <c r="I15">
        <v>1.2</v>
      </c>
      <c r="J15">
        <v>-0.84</v>
      </c>
      <c r="K15">
        <v>4.26</v>
      </c>
      <c r="L15">
        <v>0.66</v>
      </c>
      <c r="M15">
        <v>6.83</v>
      </c>
      <c r="N15">
        <v>0.83</v>
      </c>
      <c r="O15">
        <v>3.75</v>
      </c>
      <c r="P15">
        <v>-0.43</v>
      </c>
      <c r="Q15">
        <v>0.86</v>
      </c>
      <c r="R15">
        <v>-1.72</v>
      </c>
      <c r="S15">
        <v>0.1</v>
      </c>
      <c r="T15">
        <v>-2.83</v>
      </c>
      <c r="U15">
        <v>3.58</v>
      </c>
      <c r="V15">
        <v>0.56000000000000005</v>
      </c>
      <c r="W15">
        <v>3.32</v>
      </c>
      <c r="X15">
        <v>0.56000000000000005</v>
      </c>
      <c r="Y15">
        <v>1.24</v>
      </c>
      <c r="Z15">
        <v>0.09</v>
      </c>
      <c r="AA15">
        <v>0.22</v>
      </c>
      <c r="AB15">
        <v>-1.2</v>
      </c>
    </row>
    <row r="16" spans="1:28" x14ac:dyDescent="0.25">
      <c r="A16" s="1">
        <v>36951</v>
      </c>
      <c r="B16">
        <v>1.8</v>
      </c>
      <c r="C16">
        <v>-0.08</v>
      </c>
      <c r="D16">
        <f t="shared" si="0"/>
        <v>3</v>
      </c>
      <c r="E16">
        <v>0.06</v>
      </c>
      <c r="F16">
        <v>-1.72</v>
      </c>
      <c r="G16">
        <v>0.65</v>
      </c>
      <c r="H16">
        <v>0.11</v>
      </c>
      <c r="I16">
        <v>0.74</v>
      </c>
      <c r="J16">
        <v>-1.62</v>
      </c>
      <c r="K16">
        <v>3.06</v>
      </c>
      <c r="L16">
        <v>-0.03</v>
      </c>
      <c r="M16">
        <v>2.71</v>
      </c>
      <c r="N16">
        <v>-0.79</v>
      </c>
      <c r="O16">
        <v>8.84</v>
      </c>
      <c r="P16">
        <v>1.28</v>
      </c>
      <c r="Q16">
        <v>3.5</v>
      </c>
      <c r="R16">
        <v>0.19</v>
      </c>
      <c r="S16">
        <v>9.7200000000000006</v>
      </c>
      <c r="T16">
        <v>1.58</v>
      </c>
      <c r="U16">
        <v>5.01</v>
      </c>
      <c r="V16">
        <v>1.02</v>
      </c>
      <c r="W16">
        <v>4.49</v>
      </c>
      <c r="X16">
        <v>1.1000000000000001</v>
      </c>
      <c r="Y16">
        <v>0.23</v>
      </c>
      <c r="Z16">
        <v>-1.34</v>
      </c>
      <c r="AA16">
        <v>0.87</v>
      </c>
      <c r="AB16">
        <v>0.02</v>
      </c>
    </row>
    <row r="17" spans="1:28" x14ac:dyDescent="0.25">
      <c r="A17" s="1">
        <v>36982</v>
      </c>
      <c r="B17">
        <v>1.76</v>
      </c>
      <c r="C17">
        <v>-1.03</v>
      </c>
      <c r="D17">
        <f t="shared" si="0"/>
        <v>4</v>
      </c>
      <c r="E17">
        <v>0.52</v>
      </c>
      <c r="F17">
        <v>0.01</v>
      </c>
      <c r="G17">
        <v>0.62</v>
      </c>
      <c r="H17">
        <v>7.0000000000000007E-2</v>
      </c>
      <c r="I17">
        <v>0.98</v>
      </c>
      <c r="J17">
        <v>-1.18</v>
      </c>
      <c r="K17">
        <v>1.82</v>
      </c>
      <c r="L17">
        <v>-0.97</v>
      </c>
      <c r="M17">
        <v>6.51</v>
      </c>
      <c r="N17">
        <v>0.73</v>
      </c>
      <c r="O17">
        <v>5.16</v>
      </c>
      <c r="P17">
        <v>0.15</v>
      </c>
      <c r="Q17">
        <v>11.41</v>
      </c>
      <c r="R17">
        <v>2.64</v>
      </c>
      <c r="S17">
        <v>3.95</v>
      </c>
      <c r="T17">
        <v>0.21</v>
      </c>
      <c r="U17">
        <v>3.9</v>
      </c>
      <c r="V17">
        <v>0.67</v>
      </c>
      <c r="W17">
        <v>0.99</v>
      </c>
      <c r="X17">
        <v>-1.1200000000000001</v>
      </c>
      <c r="Y17">
        <v>4.4800000000000004</v>
      </c>
      <c r="Z17">
        <v>1.81</v>
      </c>
      <c r="AA17">
        <v>2.72</v>
      </c>
      <c r="AB17">
        <v>1.69</v>
      </c>
    </row>
    <row r="18" spans="1:28" x14ac:dyDescent="0.25">
      <c r="A18" s="1">
        <v>37012</v>
      </c>
      <c r="B18">
        <v>4.57</v>
      </c>
      <c r="C18">
        <v>0.06</v>
      </c>
      <c r="D18">
        <f t="shared" si="0"/>
        <v>5</v>
      </c>
      <c r="E18">
        <v>0.7</v>
      </c>
      <c r="F18">
        <v>0.34</v>
      </c>
      <c r="G18">
        <v>0.69</v>
      </c>
      <c r="H18">
        <v>0.16</v>
      </c>
      <c r="I18">
        <v>1.59</v>
      </c>
      <c r="J18">
        <v>-0.32</v>
      </c>
      <c r="K18">
        <v>5.27</v>
      </c>
      <c r="L18">
        <v>1.1399999999999999</v>
      </c>
      <c r="M18">
        <v>7.14</v>
      </c>
      <c r="N18">
        <v>0.92</v>
      </c>
      <c r="O18">
        <v>4.9800000000000004</v>
      </c>
      <c r="P18">
        <v>0.08</v>
      </c>
      <c r="Q18">
        <v>2.99</v>
      </c>
      <c r="R18">
        <v>-7.0000000000000007E-2</v>
      </c>
      <c r="S18">
        <v>8.01</v>
      </c>
      <c r="T18">
        <v>1.24</v>
      </c>
      <c r="U18">
        <v>5.98</v>
      </c>
      <c r="V18">
        <v>1.28</v>
      </c>
      <c r="W18">
        <v>1.47</v>
      </c>
      <c r="X18">
        <v>-0.64</v>
      </c>
      <c r="Y18">
        <v>0.69</v>
      </c>
      <c r="Z18">
        <v>-0.48</v>
      </c>
      <c r="AA18">
        <v>1.1200000000000001</v>
      </c>
      <c r="AB18">
        <v>0.33</v>
      </c>
    </row>
    <row r="19" spans="1:28" x14ac:dyDescent="0.25">
      <c r="A19" s="1">
        <v>37043</v>
      </c>
      <c r="B19">
        <v>7.53</v>
      </c>
      <c r="C19">
        <v>0.92</v>
      </c>
      <c r="D19">
        <f t="shared" si="0"/>
        <v>6</v>
      </c>
      <c r="E19">
        <v>1.03</v>
      </c>
      <c r="F19">
        <v>0.83</v>
      </c>
      <c r="G19">
        <v>0.27</v>
      </c>
      <c r="H19">
        <v>-0.56000000000000005</v>
      </c>
      <c r="I19">
        <v>2.76</v>
      </c>
      <c r="J19">
        <v>0.83</v>
      </c>
      <c r="K19">
        <v>7.16</v>
      </c>
      <c r="L19">
        <v>1.91</v>
      </c>
      <c r="M19">
        <v>3.26</v>
      </c>
      <c r="N19">
        <v>-0.51</v>
      </c>
      <c r="O19">
        <v>11.46</v>
      </c>
      <c r="P19">
        <v>1.91</v>
      </c>
      <c r="Q19">
        <v>5.13</v>
      </c>
      <c r="R19">
        <v>0.87</v>
      </c>
      <c r="S19">
        <v>2.44</v>
      </c>
      <c r="T19">
        <v>-0.37</v>
      </c>
      <c r="U19">
        <v>0.91</v>
      </c>
      <c r="V19">
        <v>-0.87</v>
      </c>
      <c r="W19">
        <v>5.1100000000000003</v>
      </c>
      <c r="X19">
        <v>1.35</v>
      </c>
      <c r="Y19">
        <v>0.47</v>
      </c>
      <c r="Z19">
        <v>-0.81</v>
      </c>
      <c r="AA19">
        <v>0.12</v>
      </c>
      <c r="AB19">
        <v>-1.48</v>
      </c>
    </row>
    <row r="20" spans="1:28" x14ac:dyDescent="0.25">
      <c r="A20" s="1">
        <v>37073</v>
      </c>
      <c r="B20">
        <v>7.2</v>
      </c>
      <c r="C20">
        <v>1.55</v>
      </c>
      <c r="D20">
        <f t="shared" si="0"/>
        <v>7</v>
      </c>
      <c r="E20">
        <v>0.45</v>
      </c>
      <c r="F20">
        <v>-0.14000000000000001</v>
      </c>
      <c r="G20">
        <v>0.4</v>
      </c>
      <c r="H20">
        <v>-0.28000000000000003</v>
      </c>
      <c r="I20">
        <v>1.43</v>
      </c>
      <c r="J20">
        <v>-0.52</v>
      </c>
      <c r="K20">
        <v>0.53</v>
      </c>
      <c r="L20">
        <v>-2.72</v>
      </c>
      <c r="M20">
        <v>1.55</v>
      </c>
      <c r="N20">
        <v>-1.57</v>
      </c>
      <c r="O20">
        <v>2.61</v>
      </c>
      <c r="P20">
        <v>-1.02</v>
      </c>
      <c r="Q20">
        <v>1.21</v>
      </c>
      <c r="R20">
        <v>-1.32</v>
      </c>
      <c r="S20">
        <v>7.46</v>
      </c>
      <c r="T20">
        <v>1.1299999999999999</v>
      </c>
      <c r="U20">
        <v>2.3199999999999998</v>
      </c>
      <c r="V20">
        <v>0.04</v>
      </c>
      <c r="W20">
        <v>6.98</v>
      </c>
      <c r="X20">
        <v>2</v>
      </c>
      <c r="Y20">
        <v>0.55000000000000004</v>
      </c>
      <c r="Z20">
        <v>-0.68</v>
      </c>
      <c r="AA20">
        <v>2.2200000000000002</v>
      </c>
      <c r="AB20">
        <v>1.34</v>
      </c>
    </row>
    <row r="21" spans="1:28" x14ac:dyDescent="0.25">
      <c r="A21" s="1">
        <v>37104</v>
      </c>
      <c r="B21">
        <v>1.31</v>
      </c>
      <c r="C21">
        <v>-1</v>
      </c>
      <c r="D21">
        <f t="shared" si="0"/>
        <v>8</v>
      </c>
      <c r="E21">
        <v>0.69</v>
      </c>
      <c r="F21">
        <v>0.33</v>
      </c>
      <c r="G21">
        <v>1.66</v>
      </c>
      <c r="H21">
        <v>1.07</v>
      </c>
      <c r="I21">
        <v>3.73</v>
      </c>
      <c r="J21">
        <v>1.55</v>
      </c>
      <c r="K21">
        <v>2.17</v>
      </c>
      <c r="L21">
        <v>-0.67</v>
      </c>
      <c r="M21">
        <v>11.15</v>
      </c>
      <c r="N21">
        <v>1.93</v>
      </c>
      <c r="O21">
        <v>4.82</v>
      </c>
      <c r="P21">
        <v>0.02</v>
      </c>
      <c r="Q21">
        <v>3.01</v>
      </c>
      <c r="R21">
        <v>-0.06</v>
      </c>
      <c r="S21">
        <v>5.13</v>
      </c>
      <c r="T21">
        <v>0.56000000000000005</v>
      </c>
      <c r="U21">
        <v>7.83</v>
      </c>
      <c r="V21">
        <v>1.72</v>
      </c>
      <c r="W21">
        <v>2.2400000000000002</v>
      </c>
      <c r="X21">
        <v>-0.05</v>
      </c>
      <c r="Y21">
        <v>0.57999999999999996</v>
      </c>
      <c r="Z21">
        <v>-0.63</v>
      </c>
      <c r="AA21">
        <v>1.1599999999999999</v>
      </c>
      <c r="AB21">
        <v>0.37</v>
      </c>
    </row>
    <row r="22" spans="1:28" x14ac:dyDescent="0.25">
      <c r="A22" s="1">
        <v>37135</v>
      </c>
      <c r="B22">
        <v>3.42</v>
      </c>
      <c r="C22">
        <v>0.5</v>
      </c>
      <c r="D22">
        <f t="shared" si="0"/>
        <v>9</v>
      </c>
      <c r="E22">
        <v>1.64</v>
      </c>
      <c r="F22">
        <v>1.51</v>
      </c>
      <c r="G22">
        <v>0.18</v>
      </c>
      <c r="H22">
        <v>-0.83</v>
      </c>
      <c r="I22">
        <v>2.2400000000000002</v>
      </c>
      <c r="J22">
        <v>0.37</v>
      </c>
      <c r="K22">
        <v>2.62</v>
      </c>
      <c r="L22">
        <v>-0.33</v>
      </c>
      <c r="M22">
        <v>5.85</v>
      </c>
      <c r="N22">
        <v>0.52</v>
      </c>
      <c r="O22">
        <v>2.87</v>
      </c>
      <c r="P22">
        <v>-0.87</v>
      </c>
      <c r="Q22">
        <v>8.65</v>
      </c>
      <c r="R22">
        <v>1.96</v>
      </c>
      <c r="S22">
        <v>2.25</v>
      </c>
      <c r="T22">
        <v>-0.46</v>
      </c>
      <c r="U22">
        <v>1.97</v>
      </c>
      <c r="V22">
        <v>-0.14000000000000001</v>
      </c>
      <c r="W22">
        <v>0.75</v>
      </c>
      <c r="X22">
        <v>-1.43</v>
      </c>
      <c r="Y22">
        <v>3.12</v>
      </c>
      <c r="Z22">
        <v>1.24</v>
      </c>
      <c r="AA22">
        <v>0.5</v>
      </c>
      <c r="AB22">
        <v>-0.56999999999999995</v>
      </c>
    </row>
    <row r="23" spans="1:28" x14ac:dyDescent="0.25">
      <c r="A23" s="1">
        <v>37165</v>
      </c>
      <c r="B23">
        <v>1.95</v>
      </c>
      <c r="C23">
        <v>-0.25</v>
      </c>
      <c r="D23">
        <f t="shared" si="0"/>
        <v>10</v>
      </c>
      <c r="E23">
        <v>1.45</v>
      </c>
      <c r="F23">
        <v>1.32</v>
      </c>
      <c r="G23">
        <v>0.06</v>
      </c>
      <c r="H23">
        <v>-1.43</v>
      </c>
      <c r="I23">
        <v>3.47</v>
      </c>
      <c r="J23">
        <v>1.37</v>
      </c>
      <c r="K23">
        <v>2.09</v>
      </c>
      <c r="L23">
        <v>-0.74</v>
      </c>
      <c r="M23">
        <v>3.65</v>
      </c>
      <c r="N23">
        <v>-0.32</v>
      </c>
      <c r="O23">
        <v>5.97</v>
      </c>
      <c r="P23">
        <v>0.44</v>
      </c>
      <c r="Q23">
        <v>3.42</v>
      </c>
      <c r="R23">
        <v>0.15</v>
      </c>
      <c r="S23">
        <v>2.59</v>
      </c>
      <c r="T23">
        <v>-0.3</v>
      </c>
      <c r="U23">
        <v>0.33</v>
      </c>
      <c r="V23">
        <v>-1.63</v>
      </c>
      <c r="W23">
        <v>4.95</v>
      </c>
      <c r="X23">
        <v>1.29</v>
      </c>
      <c r="Y23">
        <v>2.12</v>
      </c>
      <c r="Z23">
        <v>0.71</v>
      </c>
      <c r="AA23">
        <v>0.37</v>
      </c>
      <c r="AB23">
        <v>-0.83</v>
      </c>
    </row>
    <row r="24" spans="1:28" x14ac:dyDescent="0.25">
      <c r="A24" s="1">
        <v>37196</v>
      </c>
      <c r="B24">
        <v>0.37</v>
      </c>
      <c r="C24">
        <v>-1</v>
      </c>
      <c r="D24">
        <f t="shared" si="0"/>
        <v>11</v>
      </c>
      <c r="E24">
        <v>0.62</v>
      </c>
      <c r="F24">
        <v>0.2</v>
      </c>
      <c r="G24">
        <v>0.05</v>
      </c>
      <c r="H24">
        <v>-1.51</v>
      </c>
      <c r="I24">
        <v>2.98</v>
      </c>
      <c r="J24">
        <v>1</v>
      </c>
      <c r="K24">
        <v>3.4</v>
      </c>
      <c r="L24">
        <v>0.18</v>
      </c>
      <c r="M24">
        <v>6.83</v>
      </c>
      <c r="N24">
        <v>0.83</v>
      </c>
      <c r="O24">
        <v>4.55</v>
      </c>
      <c r="P24">
        <v>-0.08</v>
      </c>
      <c r="Q24">
        <v>3.38</v>
      </c>
      <c r="R24">
        <v>0.13</v>
      </c>
      <c r="S24">
        <v>3.19</v>
      </c>
      <c r="T24">
        <v>-0.06</v>
      </c>
      <c r="U24">
        <v>0.84</v>
      </c>
      <c r="V24">
        <v>-0.93</v>
      </c>
      <c r="W24">
        <v>1.29</v>
      </c>
      <c r="X24">
        <v>-0.8</v>
      </c>
      <c r="Y24">
        <v>3.1</v>
      </c>
      <c r="Z24">
        <v>1.23</v>
      </c>
      <c r="AA24">
        <v>0.98</v>
      </c>
      <c r="AB24">
        <v>0.16</v>
      </c>
    </row>
    <row r="25" spans="1:28" x14ac:dyDescent="0.25">
      <c r="A25" s="1">
        <v>37226</v>
      </c>
      <c r="B25">
        <v>0.62</v>
      </c>
      <c r="C25">
        <v>-0.36</v>
      </c>
      <c r="D25">
        <f t="shared" si="0"/>
        <v>12</v>
      </c>
      <c r="E25">
        <v>1.06</v>
      </c>
      <c r="F25">
        <v>0.87</v>
      </c>
      <c r="G25">
        <v>2.35</v>
      </c>
      <c r="H25">
        <v>1.52</v>
      </c>
      <c r="I25">
        <v>1.43</v>
      </c>
      <c r="J25">
        <v>-0.52</v>
      </c>
      <c r="K25">
        <v>1.77</v>
      </c>
      <c r="L25">
        <v>-1.02</v>
      </c>
      <c r="M25">
        <v>3.15</v>
      </c>
      <c r="N25">
        <v>-0.56000000000000005</v>
      </c>
      <c r="O25">
        <v>4.5</v>
      </c>
      <c r="P25">
        <v>-0.11</v>
      </c>
      <c r="Q25">
        <v>4.37</v>
      </c>
      <c r="R25">
        <v>0.56999999999999995</v>
      </c>
      <c r="S25">
        <v>7.1</v>
      </c>
      <c r="T25">
        <v>1.05</v>
      </c>
      <c r="U25">
        <v>0.33</v>
      </c>
      <c r="V25">
        <v>-1.63</v>
      </c>
      <c r="W25">
        <v>2.0299999999999998</v>
      </c>
      <c r="X25">
        <v>-0.2</v>
      </c>
      <c r="Y25">
        <v>0.6</v>
      </c>
      <c r="Z25">
        <v>-0.61</v>
      </c>
      <c r="AA25">
        <v>2.27</v>
      </c>
      <c r="AB25">
        <v>1.37</v>
      </c>
    </row>
    <row r="26" spans="1:28" x14ac:dyDescent="0.25">
      <c r="A26" s="1">
        <v>37257</v>
      </c>
      <c r="B26">
        <v>0.13</v>
      </c>
      <c r="C26">
        <v>-1.2</v>
      </c>
      <c r="D26">
        <f t="shared" si="0"/>
        <v>1</v>
      </c>
      <c r="E26">
        <v>0.87</v>
      </c>
      <c r="F26">
        <v>0.61</v>
      </c>
      <c r="G26">
        <v>0.1</v>
      </c>
      <c r="H26">
        <v>-1.1599999999999999</v>
      </c>
      <c r="I26">
        <v>1.42</v>
      </c>
      <c r="J26">
        <v>-0.54</v>
      </c>
      <c r="K26">
        <v>3.34</v>
      </c>
      <c r="L26">
        <v>0.14000000000000001</v>
      </c>
      <c r="M26">
        <v>6.15</v>
      </c>
      <c r="N26">
        <v>0.62</v>
      </c>
    </row>
    <row r="27" spans="1:28" x14ac:dyDescent="0.25">
      <c r="A27" s="1">
        <v>37288</v>
      </c>
      <c r="B27">
        <v>0.49</v>
      </c>
      <c r="C27">
        <v>-0.13</v>
      </c>
      <c r="D27">
        <f t="shared" si="0"/>
        <v>2</v>
      </c>
    </row>
    <row r="28" spans="1:28" x14ac:dyDescent="0.25">
      <c r="A28" s="1">
        <v>37316</v>
      </c>
      <c r="B28">
        <v>1.47</v>
      </c>
      <c r="C28">
        <v>-0.47</v>
      </c>
      <c r="D28">
        <f t="shared" si="0"/>
        <v>3</v>
      </c>
    </row>
    <row r="29" spans="1:28" x14ac:dyDescent="0.25">
      <c r="A29" s="1">
        <v>37347</v>
      </c>
      <c r="B29">
        <v>3.85</v>
      </c>
      <c r="C29">
        <v>0.44</v>
      </c>
      <c r="D29">
        <f t="shared" si="0"/>
        <v>4</v>
      </c>
    </row>
    <row r="30" spans="1:28" x14ac:dyDescent="0.25">
      <c r="A30" s="1">
        <v>37377</v>
      </c>
      <c r="B30">
        <v>4.45</v>
      </c>
      <c r="C30">
        <v>0.02</v>
      </c>
      <c r="D30">
        <f t="shared" si="0"/>
        <v>5</v>
      </c>
    </row>
    <row r="31" spans="1:28" x14ac:dyDescent="0.25">
      <c r="A31" s="1">
        <v>37408</v>
      </c>
      <c r="B31">
        <v>1.47</v>
      </c>
      <c r="C31">
        <v>-1.84</v>
      </c>
      <c r="D31">
        <f t="shared" si="0"/>
        <v>6</v>
      </c>
    </row>
    <row r="32" spans="1:28" x14ac:dyDescent="0.25">
      <c r="A32" s="1">
        <v>37438</v>
      </c>
      <c r="B32">
        <v>1.55</v>
      </c>
      <c r="C32">
        <v>-1.01</v>
      </c>
      <c r="D32">
        <f t="shared" si="0"/>
        <v>7</v>
      </c>
    </row>
    <row r="33" spans="1:4" x14ac:dyDescent="0.25">
      <c r="A33" s="1">
        <v>37469</v>
      </c>
      <c r="B33">
        <v>3.56</v>
      </c>
      <c r="C33">
        <v>7.0000000000000007E-2</v>
      </c>
      <c r="D33">
        <f t="shared" si="0"/>
        <v>8</v>
      </c>
    </row>
    <row r="34" spans="1:4" x14ac:dyDescent="0.25">
      <c r="A34" s="1">
        <v>37500</v>
      </c>
      <c r="B34">
        <v>0.79</v>
      </c>
      <c r="C34">
        <v>-0.98</v>
      </c>
      <c r="D34">
        <f t="shared" si="0"/>
        <v>9</v>
      </c>
    </row>
    <row r="35" spans="1:4" x14ac:dyDescent="0.25">
      <c r="A35" s="1">
        <v>37530</v>
      </c>
      <c r="B35">
        <v>2.95</v>
      </c>
      <c r="C35">
        <v>0.37</v>
      </c>
      <c r="D35">
        <f t="shared" si="0"/>
        <v>10</v>
      </c>
    </row>
    <row r="36" spans="1:4" x14ac:dyDescent="0.25">
      <c r="A36" s="1">
        <v>37561</v>
      </c>
      <c r="B36">
        <v>0.26</v>
      </c>
      <c r="C36">
        <v>-1.25</v>
      </c>
      <c r="D36">
        <f t="shared" si="0"/>
        <v>11</v>
      </c>
    </row>
    <row r="37" spans="1:4" x14ac:dyDescent="0.25">
      <c r="A37" s="1">
        <v>37591</v>
      </c>
      <c r="B37">
        <v>0</v>
      </c>
      <c r="C37">
        <v>-1.73</v>
      </c>
      <c r="D37">
        <f t="shared" si="0"/>
        <v>12</v>
      </c>
    </row>
    <row r="38" spans="1:4" x14ac:dyDescent="0.25">
      <c r="A38" s="1">
        <v>37622</v>
      </c>
      <c r="B38">
        <v>0.13</v>
      </c>
      <c r="C38">
        <v>-1.2</v>
      </c>
      <c r="D38">
        <f t="shared" si="0"/>
        <v>1</v>
      </c>
    </row>
    <row r="39" spans="1:4" x14ac:dyDescent="0.25">
      <c r="A39" s="1">
        <v>37653</v>
      </c>
      <c r="B39">
        <v>0.52</v>
      </c>
      <c r="C39">
        <v>-0.08</v>
      </c>
      <c r="D39">
        <f t="shared" si="0"/>
        <v>2</v>
      </c>
    </row>
    <row r="40" spans="1:4" x14ac:dyDescent="0.25">
      <c r="A40" s="1">
        <v>37681</v>
      </c>
      <c r="B40">
        <v>1</v>
      </c>
      <c r="C40">
        <v>-1.1499999999999999</v>
      </c>
      <c r="D40">
        <f t="shared" si="0"/>
        <v>3</v>
      </c>
    </row>
    <row r="41" spans="1:4" x14ac:dyDescent="0.25">
      <c r="A41" s="1">
        <v>37712</v>
      </c>
      <c r="B41">
        <v>3.86</v>
      </c>
      <c r="C41">
        <v>0.44</v>
      </c>
      <c r="D41">
        <f t="shared" si="0"/>
        <v>4</v>
      </c>
    </row>
    <row r="42" spans="1:4" x14ac:dyDescent="0.25">
      <c r="A42" s="1">
        <v>37742</v>
      </c>
      <c r="B42">
        <v>3.43</v>
      </c>
      <c r="C42">
        <v>-0.42</v>
      </c>
      <c r="D42">
        <f t="shared" si="0"/>
        <v>5</v>
      </c>
    </row>
    <row r="43" spans="1:4" x14ac:dyDescent="0.25">
      <c r="A43" s="1">
        <v>37773</v>
      </c>
      <c r="B43">
        <v>4.78</v>
      </c>
      <c r="C43">
        <v>0.01</v>
      </c>
      <c r="D43">
        <f t="shared" si="0"/>
        <v>6</v>
      </c>
    </row>
    <row r="44" spans="1:4" x14ac:dyDescent="0.25">
      <c r="A44" s="1">
        <v>37803</v>
      </c>
      <c r="B44">
        <v>1.47</v>
      </c>
      <c r="C44">
        <v>-1.08</v>
      </c>
      <c r="D44">
        <f t="shared" si="0"/>
        <v>7</v>
      </c>
    </row>
    <row r="45" spans="1:4" x14ac:dyDescent="0.25">
      <c r="A45" s="1">
        <v>37834</v>
      </c>
      <c r="B45">
        <v>1.37</v>
      </c>
      <c r="C45">
        <v>-0.96</v>
      </c>
      <c r="D45">
        <f t="shared" si="0"/>
        <v>8</v>
      </c>
    </row>
    <row r="46" spans="1:4" x14ac:dyDescent="0.25">
      <c r="A46" s="1">
        <v>37865</v>
      </c>
      <c r="B46">
        <v>2.3199999999999998</v>
      </c>
      <c r="C46">
        <v>0.04</v>
      </c>
      <c r="D46">
        <f t="shared" si="0"/>
        <v>9</v>
      </c>
    </row>
    <row r="47" spans="1:4" x14ac:dyDescent="0.25">
      <c r="A47" s="1">
        <v>37895</v>
      </c>
      <c r="B47">
        <v>1.27</v>
      </c>
      <c r="C47">
        <v>-0.82</v>
      </c>
      <c r="D47">
        <f t="shared" si="0"/>
        <v>10</v>
      </c>
    </row>
    <row r="48" spans="1:4" x14ac:dyDescent="0.25">
      <c r="A48" s="1">
        <v>37926</v>
      </c>
      <c r="B48">
        <v>1.28</v>
      </c>
      <c r="C48">
        <v>0.12</v>
      </c>
      <c r="D48">
        <f t="shared" si="0"/>
        <v>11</v>
      </c>
    </row>
    <row r="49" spans="1:4" x14ac:dyDescent="0.25">
      <c r="A49" s="1">
        <v>37956</v>
      </c>
      <c r="B49">
        <v>1.55</v>
      </c>
      <c r="C49">
        <v>0.77</v>
      </c>
      <c r="D49">
        <f t="shared" si="0"/>
        <v>12</v>
      </c>
    </row>
    <row r="50" spans="1:4" x14ac:dyDescent="0.25">
      <c r="A50" s="1">
        <v>37987</v>
      </c>
      <c r="B50">
        <v>0.47</v>
      </c>
      <c r="C50">
        <v>-0.09</v>
      </c>
      <c r="D50">
        <f t="shared" si="0"/>
        <v>1</v>
      </c>
    </row>
    <row r="51" spans="1:4" x14ac:dyDescent="0.25">
      <c r="A51" s="1">
        <v>38018</v>
      </c>
      <c r="B51">
        <v>0.36</v>
      </c>
      <c r="C51">
        <v>-0.36</v>
      </c>
      <c r="D51">
        <f t="shared" si="0"/>
        <v>2</v>
      </c>
    </row>
    <row r="52" spans="1:4" x14ac:dyDescent="0.25">
      <c r="A52" s="1">
        <v>38047</v>
      </c>
      <c r="B52">
        <v>4.62</v>
      </c>
      <c r="C52">
        <v>2.12</v>
      </c>
      <c r="D52">
        <f t="shared" si="0"/>
        <v>3</v>
      </c>
    </row>
    <row r="53" spans="1:4" x14ac:dyDescent="0.25">
      <c r="A53" s="1">
        <v>38078</v>
      </c>
      <c r="B53">
        <v>1.51</v>
      </c>
      <c r="C53">
        <v>-1.28</v>
      </c>
      <c r="D53">
        <f t="shared" si="0"/>
        <v>4</v>
      </c>
    </row>
    <row r="54" spans="1:4" x14ac:dyDescent="0.25">
      <c r="A54" s="1">
        <v>38108</v>
      </c>
      <c r="B54">
        <v>7.47</v>
      </c>
      <c r="C54">
        <v>1.02</v>
      </c>
      <c r="D54">
        <f t="shared" si="0"/>
        <v>5</v>
      </c>
    </row>
    <row r="55" spans="1:4" x14ac:dyDescent="0.25">
      <c r="A55" s="1">
        <v>38139</v>
      </c>
      <c r="B55">
        <v>6.66</v>
      </c>
      <c r="C55">
        <v>0.66</v>
      </c>
      <c r="D55">
        <f t="shared" si="0"/>
        <v>6</v>
      </c>
    </row>
    <row r="56" spans="1:4" x14ac:dyDescent="0.25">
      <c r="A56" s="1">
        <v>38169</v>
      </c>
      <c r="B56">
        <v>3.55</v>
      </c>
      <c r="C56">
        <v>0.21</v>
      </c>
      <c r="D56">
        <f t="shared" si="0"/>
        <v>7</v>
      </c>
    </row>
    <row r="57" spans="1:4" x14ac:dyDescent="0.25">
      <c r="A57" s="1">
        <v>38200</v>
      </c>
      <c r="B57">
        <v>4.8099999999999996</v>
      </c>
      <c r="C57">
        <v>0.47</v>
      </c>
      <c r="D57">
        <f t="shared" si="0"/>
        <v>8</v>
      </c>
    </row>
    <row r="58" spans="1:4" x14ac:dyDescent="0.25">
      <c r="A58" s="1">
        <v>38231</v>
      </c>
      <c r="B58">
        <v>2.61</v>
      </c>
      <c r="C58">
        <v>0.17</v>
      </c>
      <c r="D58">
        <f t="shared" si="0"/>
        <v>9</v>
      </c>
    </row>
    <row r="59" spans="1:4" x14ac:dyDescent="0.25">
      <c r="A59" s="1">
        <v>38261</v>
      </c>
      <c r="B59">
        <v>1.77</v>
      </c>
      <c r="C59">
        <v>-0.39</v>
      </c>
      <c r="D59">
        <f t="shared" si="0"/>
        <v>10</v>
      </c>
    </row>
    <row r="60" spans="1:4" x14ac:dyDescent="0.25">
      <c r="A60" s="1">
        <v>38292</v>
      </c>
      <c r="B60">
        <v>1.46</v>
      </c>
      <c r="C60">
        <v>0.27</v>
      </c>
      <c r="D60">
        <f t="shared" si="0"/>
        <v>11</v>
      </c>
    </row>
    <row r="61" spans="1:4" x14ac:dyDescent="0.25">
      <c r="A61" s="1">
        <v>38322</v>
      </c>
      <c r="B61">
        <v>0.31</v>
      </c>
      <c r="C61">
        <v>-0.97</v>
      </c>
      <c r="D61">
        <f t="shared" si="0"/>
        <v>12</v>
      </c>
    </row>
    <row r="62" spans="1:4" x14ac:dyDescent="0.25">
      <c r="A62" s="1">
        <v>38353</v>
      </c>
      <c r="B62">
        <v>1.02</v>
      </c>
      <c r="C62">
        <v>0.82</v>
      </c>
      <c r="D62">
        <f t="shared" si="0"/>
        <v>1</v>
      </c>
    </row>
    <row r="63" spans="1:4" x14ac:dyDescent="0.25">
      <c r="A63" s="1">
        <v>38384</v>
      </c>
      <c r="B63">
        <v>2.23</v>
      </c>
      <c r="C63">
        <v>1.45</v>
      </c>
      <c r="D63">
        <f t="shared" si="0"/>
        <v>2</v>
      </c>
    </row>
    <row r="64" spans="1:4" x14ac:dyDescent="0.25">
      <c r="A64" s="1">
        <v>38412</v>
      </c>
      <c r="B64">
        <v>0.89</v>
      </c>
      <c r="C64">
        <v>-1.34</v>
      </c>
      <c r="D64">
        <f t="shared" si="0"/>
        <v>3</v>
      </c>
    </row>
    <row r="65" spans="1:4" x14ac:dyDescent="0.25">
      <c r="A65" s="1">
        <v>38443</v>
      </c>
      <c r="B65">
        <v>4.88</v>
      </c>
      <c r="C65">
        <v>0.96</v>
      </c>
      <c r="D65">
        <f t="shared" si="0"/>
        <v>4</v>
      </c>
    </row>
    <row r="66" spans="1:4" x14ac:dyDescent="0.25">
      <c r="A66" s="1">
        <v>38473</v>
      </c>
      <c r="B66">
        <v>1.45</v>
      </c>
      <c r="C66">
        <v>-1.66</v>
      </c>
      <c r="D66">
        <f t="shared" si="0"/>
        <v>5</v>
      </c>
    </row>
    <row r="67" spans="1:4" x14ac:dyDescent="0.25">
      <c r="A67" s="1">
        <v>38504</v>
      </c>
      <c r="B67">
        <v>5.8</v>
      </c>
      <c r="C67">
        <v>0.38</v>
      </c>
      <c r="D67">
        <f t="shared" ref="D67:D130" si="1">MONTH(A67)</f>
        <v>6</v>
      </c>
    </row>
    <row r="68" spans="1:4" x14ac:dyDescent="0.25">
      <c r="A68" s="1">
        <v>38534</v>
      </c>
      <c r="B68">
        <v>4.18</v>
      </c>
      <c r="C68">
        <v>0.49</v>
      </c>
      <c r="D68">
        <f t="shared" si="1"/>
        <v>7</v>
      </c>
    </row>
    <row r="69" spans="1:4" x14ac:dyDescent="0.25">
      <c r="A69" s="1">
        <v>38565</v>
      </c>
      <c r="B69">
        <v>1.97</v>
      </c>
      <c r="C69">
        <v>-0.6</v>
      </c>
      <c r="D69">
        <f t="shared" si="1"/>
        <v>8</v>
      </c>
    </row>
    <row r="70" spans="1:4" x14ac:dyDescent="0.25">
      <c r="A70" s="1">
        <v>38596</v>
      </c>
      <c r="B70">
        <v>1.48</v>
      </c>
      <c r="C70">
        <v>-0.43</v>
      </c>
      <c r="D70">
        <f t="shared" si="1"/>
        <v>9</v>
      </c>
    </row>
    <row r="71" spans="1:4" x14ac:dyDescent="0.25">
      <c r="A71" s="1">
        <v>38626</v>
      </c>
      <c r="B71">
        <v>2.71</v>
      </c>
      <c r="C71">
        <v>0.23</v>
      </c>
      <c r="D71">
        <f t="shared" si="1"/>
        <v>10</v>
      </c>
    </row>
    <row r="72" spans="1:4" x14ac:dyDescent="0.25">
      <c r="A72" s="1">
        <v>38657</v>
      </c>
      <c r="B72">
        <v>1.42</v>
      </c>
      <c r="C72">
        <v>0.24</v>
      </c>
      <c r="D72">
        <f t="shared" si="1"/>
        <v>11</v>
      </c>
    </row>
    <row r="73" spans="1:4" x14ac:dyDescent="0.25">
      <c r="A73" s="1">
        <v>38687</v>
      </c>
      <c r="B73">
        <v>1.1000000000000001</v>
      </c>
      <c r="C73">
        <v>0.3</v>
      </c>
      <c r="D73">
        <f t="shared" si="1"/>
        <v>12</v>
      </c>
    </row>
    <row r="74" spans="1:4" x14ac:dyDescent="0.25">
      <c r="A74" s="1">
        <v>38718</v>
      </c>
      <c r="B74">
        <v>0.89</v>
      </c>
      <c r="C74">
        <v>0.64</v>
      </c>
      <c r="D74">
        <f t="shared" si="1"/>
        <v>1</v>
      </c>
    </row>
    <row r="75" spans="1:4" x14ac:dyDescent="0.25">
      <c r="A75" s="1">
        <v>38749</v>
      </c>
      <c r="B75">
        <v>0.01</v>
      </c>
      <c r="C75">
        <v>-2.1800000000000002</v>
      </c>
      <c r="D75">
        <f t="shared" si="1"/>
        <v>2</v>
      </c>
    </row>
    <row r="76" spans="1:4" x14ac:dyDescent="0.25">
      <c r="A76" s="1">
        <v>38777</v>
      </c>
      <c r="B76">
        <v>1.43</v>
      </c>
      <c r="C76">
        <v>-0.52</v>
      </c>
      <c r="D76">
        <f t="shared" si="1"/>
        <v>3</v>
      </c>
    </row>
    <row r="77" spans="1:4" x14ac:dyDescent="0.25">
      <c r="A77" s="1">
        <v>38808</v>
      </c>
      <c r="B77">
        <v>4.3899999999999997</v>
      </c>
      <c r="C77">
        <v>0.72</v>
      </c>
      <c r="D77">
        <f t="shared" si="1"/>
        <v>4</v>
      </c>
    </row>
    <row r="78" spans="1:4" x14ac:dyDescent="0.25">
      <c r="A78" s="1">
        <v>38838</v>
      </c>
      <c r="B78">
        <v>1.07</v>
      </c>
      <c r="C78">
        <v>-2.0299999999999998</v>
      </c>
      <c r="D78">
        <f t="shared" si="1"/>
        <v>5</v>
      </c>
    </row>
    <row r="79" spans="1:4" x14ac:dyDescent="0.25">
      <c r="A79" s="1">
        <v>38869</v>
      </c>
      <c r="B79">
        <v>3.76</v>
      </c>
      <c r="C79">
        <v>-0.42</v>
      </c>
      <c r="D79">
        <f t="shared" si="1"/>
        <v>6</v>
      </c>
    </row>
    <row r="80" spans="1:4" x14ac:dyDescent="0.25">
      <c r="A80" s="1">
        <v>38899</v>
      </c>
      <c r="B80">
        <v>1.89</v>
      </c>
      <c r="C80">
        <v>-0.75</v>
      </c>
      <c r="D80">
        <f t="shared" si="1"/>
        <v>7</v>
      </c>
    </row>
    <row r="81" spans="1:4" x14ac:dyDescent="0.25">
      <c r="A81" s="1">
        <v>38930</v>
      </c>
      <c r="B81">
        <v>9.26</v>
      </c>
      <c r="C81">
        <v>1.49</v>
      </c>
      <c r="D81">
        <f t="shared" si="1"/>
        <v>8</v>
      </c>
    </row>
    <row r="82" spans="1:4" x14ac:dyDescent="0.25">
      <c r="A82" s="1">
        <v>38961</v>
      </c>
      <c r="B82">
        <v>3.85</v>
      </c>
      <c r="C82">
        <v>0.65</v>
      </c>
      <c r="D82">
        <f t="shared" si="1"/>
        <v>9</v>
      </c>
    </row>
    <row r="83" spans="1:4" x14ac:dyDescent="0.25">
      <c r="A83" s="1">
        <v>38991</v>
      </c>
      <c r="B83">
        <v>3.04</v>
      </c>
      <c r="C83">
        <v>0.42</v>
      </c>
      <c r="D83">
        <f t="shared" si="1"/>
        <v>10</v>
      </c>
    </row>
    <row r="84" spans="1:4" x14ac:dyDescent="0.25">
      <c r="A84" s="1">
        <v>39022</v>
      </c>
      <c r="B84">
        <v>1.17</v>
      </c>
      <c r="C84">
        <v>0.03</v>
      </c>
      <c r="D84">
        <f t="shared" si="1"/>
        <v>11</v>
      </c>
    </row>
    <row r="85" spans="1:4" x14ac:dyDescent="0.25">
      <c r="A85" s="1">
        <v>39052</v>
      </c>
      <c r="B85">
        <v>1.37</v>
      </c>
      <c r="C85">
        <v>0.6</v>
      </c>
      <c r="D85">
        <f t="shared" si="1"/>
        <v>12</v>
      </c>
    </row>
    <row r="86" spans="1:4" x14ac:dyDescent="0.25">
      <c r="A86" s="1">
        <v>39083</v>
      </c>
      <c r="B86">
        <v>0.35</v>
      </c>
      <c r="C86">
        <v>-0.38</v>
      </c>
      <c r="D86">
        <f t="shared" si="1"/>
        <v>1</v>
      </c>
    </row>
    <row r="87" spans="1:4" x14ac:dyDescent="0.25">
      <c r="A87" s="1">
        <v>39114</v>
      </c>
      <c r="B87">
        <v>0.7</v>
      </c>
      <c r="C87">
        <v>0.18</v>
      </c>
      <c r="D87">
        <f t="shared" si="1"/>
        <v>2</v>
      </c>
    </row>
    <row r="88" spans="1:4" x14ac:dyDescent="0.25">
      <c r="A88" s="1">
        <v>39142</v>
      </c>
      <c r="B88">
        <v>2.6</v>
      </c>
      <c r="C88">
        <v>0.69</v>
      </c>
      <c r="D88">
        <f t="shared" si="1"/>
        <v>3</v>
      </c>
    </row>
    <row r="89" spans="1:4" x14ac:dyDescent="0.25">
      <c r="A89" s="1">
        <v>39173</v>
      </c>
      <c r="B89">
        <v>2.14</v>
      </c>
      <c r="C89">
        <v>-0.7</v>
      </c>
      <c r="D89">
        <f t="shared" si="1"/>
        <v>4</v>
      </c>
    </row>
    <row r="90" spans="1:4" x14ac:dyDescent="0.25">
      <c r="A90" s="1">
        <v>39203</v>
      </c>
      <c r="B90">
        <v>9.49</v>
      </c>
      <c r="C90">
        <v>1.54</v>
      </c>
      <c r="D90">
        <f t="shared" si="1"/>
        <v>5</v>
      </c>
    </row>
    <row r="91" spans="1:4" x14ac:dyDescent="0.25">
      <c r="A91" s="1">
        <v>39234</v>
      </c>
      <c r="B91">
        <v>1.1100000000000001</v>
      </c>
      <c r="C91">
        <v>-2.2000000000000002</v>
      </c>
      <c r="D91">
        <f t="shared" si="1"/>
        <v>6</v>
      </c>
    </row>
    <row r="92" spans="1:4" x14ac:dyDescent="0.25">
      <c r="A92" s="1">
        <v>39264</v>
      </c>
      <c r="B92">
        <v>2.31</v>
      </c>
      <c r="C92">
        <v>-0.46</v>
      </c>
      <c r="D92">
        <f t="shared" si="1"/>
        <v>7</v>
      </c>
    </row>
    <row r="93" spans="1:4" x14ac:dyDescent="0.25">
      <c r="A93" s="1">
        <v>39295</v>
      </c>
      <c r="B93">
        <v>6.19</v>
      </c>
      <c r="C93">
        <v>0.83</v>
      </c>
      <c r="D93">
        <f t="shared" si="1"/>
        <v>8</v>
      </c>
    </row>
    <row r="94" spans="1:4" x14ac:dyDescent="0.25">
      <c r="A94" s="1">
        <v>39326</v>
      </c>
      <c r="B94">
        <v>2.19</v>
      </c>
      <c r="C94">
        <v>-0.02</v>
      </c>
      <c r="D94">
        <f t="shared" si="1"/>
        <v>9</v>
      </c>
    </row>
    <row r="95" spans="1:4" x14ac:dyDescent="0.25">
      <c r="A95" s="1">
        <v>39356</v>
      </c>
      <c r="B95">
        <v>3.7</v>
      </c>
      <c r="C95">
        <v>0.75</v>
      </c>
      <c r="D95">
        <f t="shared" si="1"/>
        <v>10</v>
      </c>
    </row>
    <row r="96" spans="1:4" x14ac:dyDescent="0.25">
      <c r="A96" s="1">
        <v>39387</v>
      </c>
      <c r="B96">
        <v>0.02</v>
      </c>
      <c r="C96">
        <v>-2.66</v>
      </c>
      <c r="D96">
        <f t="shared" si="1"/>
        <v>11</v>
      </c>
    </row>
    <row r="97" spans="1:4" x14ac:dyDescent="0.25">
      <c r="A97" s="1">
        <v>39417</v>
      </c>
      <c r="B97">
        <v>1.39</v>
      </c>
      <c r="C97">
        <v>0.62</v>
      </c>
      <c r="D97">
        <f t="shared" si="1"/>
        <v>12</v>
      </c>
    </row>
    <row r="98" spans="1:4" x14ac:dyDescent="0.25">
      <c r="A98" s="1">
        <v>39448</v>
      </c>
      <c r="B98">
        <v>0.39</v>
      </c>
      <c r="C98">
        <v>-0.28000000000000003</v>
      </c>
      <c r="D98">
        <f t="shared" si="1"/>
        <v>1</v>
      </c>
    </row>
    <row r="99" spans="1:4" x14ac:dyDescent="0.25">
      <c r="A99" s="1">
        <v>39479</v>
      </c>
      <c r="B99">
        <v>1.79</v>
      </c>
      <c r="C99">
        <v>1.1599999999999999</v>
      </c>
      <c r="D99">
        <f t="shared" si="1"/>
        <v>2</v>
      </c>
    </row>
    <row r="100" spans="1:4" x14ac:dyDescent="0.25">
      <c r="A100" s="1">
        <v>39508</v>
      </c>
      <c r="B100">
        <v>1.82</v>
      </c>
      <c r="C100">
        <v>-0.06</v>
      </c>
      <c r="D100">
        <f t="shared" si="1"/>
        <v>3</v>
      </c>
    </row>
    <row r="101" spans="1:4" x14ac:dyDescent="0.25">
      <c r="A101" s="1">
        <v>39539</v>
      </c>
      <c r="B101">
        <v>5.85</v>
      </c>
      <c r="C101">
        <v>1.39</v>
      </c>
      <c r="D101">
        <f t="shared" si="1"/>
        <v>4</v>
      </c>
    </row>
    <row r="102" spans="1:4" x14ac:dyDescent="0.25">
      <c r="A102" s="1">
        <v>39569</v>
      </c>
      <c r="B102">
        <v>3.73</v>
      </c>
      <c r="C102">
        <v>-0.28999999999999998</v>
      </c>
      <c r="D102">
        <f t="shared" si="1"/>
        <v>5</v>
      </c>
    </row>
    <row r="103" spans="1:4" x14ac:dyDescent="0.25">
      <c r="A103" s="1">
        <v>39600</v>
      </c>
      <c r="B103">
        <v>9.2200000000000006</v>
      </c>
      <c r="C103">
        <v>1.38</v>
      </c>
      <c r="D103">
        <f t="shared" si="1"/>
        <v>6</v>
      </c>
    </row>
    <row r="104" spans="1:4" x14ac:dyDescent="0.25">
      <c r="A104" s="1">
        <v>39630</v>
      </c>
      <c r="B104">
        <v>1.64</v>
      </c>
      <c r="C104">
        <v>-0.94</v>
      </c>
      <c r="D104">
        <f t="shared" si="1"/>
        <v>7</v>
      </c>
    </row>
    <row r="105" spans="1:4" x14ac:dyDescent="0.25">
      <c r="A105" s="1">
        <v>39661</v>
      </c>
      <c r="B105">
        <v>1.06</v>
      </c>
      <c r="C105">
        <v>-1.2</v>
      </c>
      <c r="D105">
        <f t="shared" si="1"/>
        <v>8</v>
      </c>
    </row>
    <row r="106" spans="1:4" x14ac:dyDescent="0.25">
      <c r="A106" s="1">
        <v>39692</v>
      </c>
      <c r="B106">
        <v>7.52</v>
      </c>
      <c r="C106">
        <v>1.65</v>
      </c>
      <c r="D106">
        <f t="shared" si="1"/>
        <v>9</v>
      </c>
    </row>
    <row r="107" spans="1:4" x14ac:dyDescent="0.25">
      <c r="A107" s="1">
        <v>39722</v>
      </c>
      <c r="B107">
        <v>3.7</v>
      </c>
      <c r="C107">
        <v>0.75</v>
      </c>
      <c r="D107">
        <f t="shared" si="1"/>
        <v>10</v>
      </c>
    </row>
    <row r="108" spans="1:4" x14ac:dyDescent="0.25">
      <c r="A108" s="1">
        <v>39753</v>
      </c>
      <c r="B108">
        <v>1.19</v>
      </c>
      <c r="C108">
        <v>0.04</v>
      </c>
      <c r="D108">
        <f t="shared" si="1"/>
        <v>11</v>
      </c>
    </row>
    <row r="109" spans="1:4" x14ac:dyDescent="0.25">
      <c r="A109" s="1">
        <v>39783</v>
      </c>
      <c r="B109">
        <v>0.97</v>
      </c>
      <c r="C109">
        <v>0.15</v>
      </c>
      <c r="D109">
        <f t="shared" si="1"/>
        <v>12</v>
      </c>
    </row>
    <row r="110" spans="1:4" x14ac:dyDescent="0.25">
      <c r="A110" s="1">
        <v>39814</v>
      </c>
      <c r="B110">
        <v>0.03</v>
      </c>
      <c r="C110">
        <v>-2.12</v>
      </c>
      <c r="D110">
        <f t="shared" si="1"/>
        <v>1</v>
      </c>
    </row>
    <row r="111" spans="1:4" x14ac:dyDescent="0.25">
      <c r="A111" s="1">
        <v>39845</v>
      </c>
      <c r="B111">
        <v>0.28999999999999998</v>
      </c>
      <c r="C111">
        <v>-0.52</v>
      </c>
      <c r="D111">
        <f t="shared" si="1"/>
        <v>2</v>
      </c>
    </row>
    <row r="112" spans="1:4" x14ac:dyDescent="0.25">
      <c r="A112" s="1">
        <v>39873</v>
      </c>
      <c r="B112">
        <v>3.5</v>
      </c>
      <c r="C112">
        <v>1.39</v>
      </c>
      <c r="D112">
        <f t="shared" si="1"/>
        <v>3</v>
      </c>
    </row>
    <row r="113" spans="1:4" x14ac:dyDescent="0.25">
      <c r="A113" s="1">
        <v>39904</v>
      </c>
      <c r="B113">
        <v>4.68</v>
      </c>
      <c r="C113">
        <v>0.87</v>
      </c>
      <c r="D113">
        <f t="shared" si="1"/>
        <v>4</v>
      </c>
    </row>
    <row r="114" spans="1:4" x14ac:dyDescent="0.25">
      <c r="A114" s="1">
        <v>39934</v>
      </c>
      <c r="B114">
        <v>5.98</v>
      </c>
      <c r="C114">
        <v>0.56000000000000005</v>
      </c>
      <c r="D114">
        <f t="shared" si="1"/>
        <v>5</v>
      </c>
    </row>
    <row r="115" spans="1:4" x14ac:dyDescent="0.25">
      <c r="A115" s="1">
        <v>39965</v>
      </c>
      <c r="B115">
        <v>7.42</v>
      </c>
      <c r="C115">
        <v>0.89</v>
      </c>
      <c r="D115">
        <f t="shared" si="1"/>
        <v>6</v>
      </c>
    </row>
    <row r="116" spans="1:4" x14ac:dyDescent="0.25">
      <c r="A116" s="1">
        <v>39995</v>
      </c>
      <c r="B116">
        <v>2.67</v>
      </c>
      <c r="C116">
        <v>-0.24</v>
      </c>
      <c r="D116">
        <f t="shared" si="1"/>
        <v>7</v>
      </c>
    </row>
    <row r="117" spans="1:4" x14ac:dyDescent="0.25">
      <c r="A117" s="1">
        <v>40026</v>
      </c>
      <c r="B117">
        <v>5.77</v>
      </c>
      <c r="C117">
        <v>0.73</v>
      </c>
      <c r="D117">
        <f t="shared" si="1"/>
        <v>8</v>
      </c>
    </row>
    <row r="118" spans="1:4" x14ac:dyDescent="0.25">
      <c r="A118" s="1">
        <v>40057</v>
      </c>
      <c r="B118">
        <v>0.53</v>
      </c>
      <c r="C118">
        <v>-1.29</v>
      </c>
      <c r="D118">
        <f t="shared" si="1"/>
        <v>9</v>
      </c>
    </row>
    <row r="119" spans="1:4" x14ac:dyDescent="0.25">
      <c r="A119" s="1">
        <v>40087</v>
      </c>
      <c r="B119">
        <v>4.42</v>
      </c>
      <c r="C119">
        <v>1.07</v>
      </c>
      <c r="D119">
        <f t="shared" si="1"/>
        <v>10</v>
      </c>
    </row>
    <row r="120" spans="1:4" x14ac:dyDescent="0.25">
      <c r="A120" s="1">
        <v>40118</v>
      </c>
      <c r="B120">
        <v>2.4900000000000002</v>
      </c>
      <c r="C120">
        <v>0.92</v>
      </c>
      <c r="D120">
        <f t="shared" si="1"/>
        <v>11</v>
      </c>
    </row>
    <row r="121" spans="1:4" x14ac:dyDescent="0.25">
      <c r="A121" s="1">
        <v>40148</v>
      </c>
      <c r="B121">
        <v>0.94</v>
      </c>
      <c r="C121">
        <v>0.11</v>
      </c>
      <c r="D121">
        <f t="shared" si="1"/>
        <v>12</v>
      </c>
    </row>
    <row r="122" spans="1:4" x14ac:dyDescent="0.25">
      <c r="A122" s="1">
        <v>40179</v>
      </c>
      <c r="B122">
        <v>0.37</v>
      </c>
      <c r="C122">
        <v>-0.33</v>
      </c>
      <c r="D122">
        <f t="shared" si="1"/>
        <v>1</v>
      </c>
    </row>
    <row r="123" spans="1:4" x14ac:dyDescent="0.25">
      <c r="A123" s="1">
        <v>40210</v>
      </c>
      <c r="B123">
        <v>0.38</v>
      </c>
      <c r="C123">
        <v>-0.32</v>
      </c>
      <c r="D123">
        <f t="shared" si="1"/>
        <v>2</v>
      </c>
    </row>
    <row r="124" spans="1:4" x14ac:dyDescent="0.25">
      <c r="A124" s="1">
        <v>40238</v>
      </c>
      <c r="B124">
        <v>2.54</v>
      </c>
      <c r="C124">
        <v>0.64</v>
      </c>
      <c r="D124">
        <f t="shared" si="1"/>
        <v>3</v>
      </c>
    </row>
    <row r="125" spans="1:4" x14ac:dyDescent="0.25">
      <c r="A125" s="1">
        <v>40269</v>
      </c>
      <c r="B125">
        <v>4.54</v>
      </c>
      <c r="C125">
        <v>0.8</v>
      </c>
      <c r="D125">
        <f t="shared" si="1"/>
        <v>4</v>
      </c>
    </row>
    <row r="126" spans="1:4" x14ac:dyDescent="0.25">
      <c r="A126" s="1">
        <v>40299</v>
      </c>
      <c r="B126">
        <v>6.36</v>
      </c>
      <c r="C126">
        <v>0.69</v>
      </c>
      <c r="D126">
        <f t="shared" si="1"/>
        <v>5</v>
      </c>
    </row>
    <row r="127" spans="1:4" x14ac:dyDescent="0.25">
      <c r="A127" s="1">
        <v>40330</v>
      </c>
      <c r="B127">
        <v>7.85</v>
      </c>
      <c r="C127">
        <v>1.02</v>
      </c>
      <c r="D127">
        <f t="shared" si="1"/>
        <v>6</v>
      </c>
    </row>
    <row r="128" spans="1:4" x14ac:dyDescent="0.25">
      <c r="A128" s="1">
        <v>40360</v>
      </c>
      <c r="B128">
        <v>3.05</v>
      </c>
      <c r="C128">
        <v>-0.04</v>
      </c>
      <c r="D128">
        <f t="shared" si="1"/>
        <v>7</v>
      </c>
    </row>
    <row r="129" spans="1:4" x14ac:dyDescent="0.25">
      <c r="A129" s="1">
        <v>40391</v>
      </c>
      <c r="B129">
        <v>1.44</v>
      </c>
      <c r="C129">
        <v>-0.91</v>
      </c>
      <c r="D129">
        <f t="shared" si="1"/>
        <v>8</v>
      </c>
    </row>
    <row r="130" spans="1:4" x14ac:dyDescent="0.25">
      <c r="A130" s="1">
        <v>40422</v>
      </c>
      <c r="B130">
        <v>6.63</v>
      </c>
      <c r="C130">
        <v>1.44</v>
      </c>
      <c r="D130">
        <f t="shared" si="1"/>
        <v>9</v>
      </c>
    </row>
    <row r="131" spans="1:4" x14ac:dyDescent="0.25">
      <c r="A131" s="1">
        <v>40452</v>
      </c>
      <c r="B131">
        <v>1.52</v>
      </c>
      <c r="C131">
        <v>-0.59</v>
      </c>
      <c r="D131">
        <f t="shared" ref="D131:D194" si="2">MONTH(A131)</f>
        <v>10</v>
      </c>
    </row>
    <row r="132" spans="1:4" x14ac:dyDescent="0.25">
      <c r="A132" s="1">
        <v>40483</v>
      </c>
      <c r="B132">
        <v>1.52</v>
      </c>
      <c r="C132">
        <v>0.31</v>
      </c>
      <c r="D132">
        <f t="shared" si="2"/>
        <v>11</v>
      </c>
    </row>
    <row r="133" spans="1:4" x14ac:dyDescent="0.25">
      <c r="A133" s="1">
        <v>40513</v>
      </c>
      <c r="B133">
        <v>0.24</v>
      </c>
      <c r="C133">
        <v>-1.1399999999999999</v>
      </c>
      <c r="D133">
        <f t="shared" si="2"/>
        <v>12</v>
      </c>
    </row>
    <row r="134" spans="1:4" x14ac:dyDescent="0.25">
      <c r="A134" s="1">
        <v>40544</v>
      </c>
      <c r="B134">
        <v>0.3</v>
      </c>
      <c r="C134">
        <v>-0.53</v>
      </c>
      <c r="D134">
        <f t="shared" si="2"/>
        <v>1</v>
      </c>
    </row>
    <row r="135" spans="1:4" x14ac:dyDescent="0.25">
      <c r="A135" s="1">
        <v>40575</v>
      </c>
      <c r="B135">
        <v>0.27</v>
      </c>
      <c r="C135">
        <v>-0.56000000000000005</v>
      </c>
      <c r="D135">
        <f t="shared" si="2"/>
        <v>2</v>
      </c>
    </row>
    <row r="136" spans="1:4" x14ac:dyDescent="0.25">
      <c r="A136" s="1">
        <v>40603</v>
      </c>
      <c r="B136">
        <v>1.38</v>
      </c>
      <c r="C136">
        <v>-0.59</v>
      </c>
      <c r="D136">
        <f t="shared" si="2"/>
        <v>3</v>
      </c>
    </row>
    <row r="137" spans="1:4" x14ac:dyDescent="0.25">
      <c r="A137" s="1">
        <v>40634</v>
      </c>
      <c r="B137">
        <v>4.04</v>
      </c>
      <c r="C137">
        <v>0.54</v>
      </c>
      <c r="D137">
        <f t="shared" si="2"/>
        <v>4</v>
      </c>
    </row>
    <row r="138" spans="1:4" x14ac:dyDescent="0.25">
      <c r="A138" s="1">
        <v>40664</v>
      </c>
      <c r="B138">
        <v>4.7</v>
      </c>
      <c r="C138">
        <v>0.11</v>
      </c>
      <c r="D138">
        <f t="shared" si="2"/>
        <v>5</v>
      </c>
    </row>
    <row r="139" spans="1:4" x14ac:dyDescent="0.25">
      <c r="A139" s="1">
        <v>40695</v>
      </c>
      <c r="B139">
        <v>2.97</v>
      </c>
      <c r="C139">
        <v>-0.82</v>
      </c>
      <c r="D139">
        <f t="shared" si="2"/>
        <v>6</v>
      </c>
    </row>
    <row r="140" spans="1:4" x14ac:dyDescent="0.25">
      <c r="A140" s="1">
        <v>40725</v>
      </c>
      <c r="B140">
        <v>2.27</v>
      </c>
      <c r="C140">
        <v>-0.49</v>
      </c>
      <c r="D140">
        <f t="shared" si="2"/>
        <v>7</v>
      </c>
    </row>
    <row r="141" spans="1:4" x14ac:dyDescent="0.25">
      <c r="A141" s="1">
        <v>40756</v>
      </c>
      <c r="B141">
        <v>4.8099999999999996</v>
      </c>
      <c r="C141">
        <v>0.47</v>
      </c>
      <c r="D141">
        <f t="shared" si="2"/>
        <v>8</v>
      </c>
    </row>
    <row r="142" spans="1:4" x14ac:dyDescent="0.25">
      <c r="A142" s="1">
        <v>40787</v>
      </c>
      <c r="B142">
        <v>0.64</v>
      </c>
      <c r="C142">
        <v>-1.1499999999999999</v>
      </c>
      <c r="D142">
        <f t="shared" si="2"/>
        <v>9</v>
      </c>
    </row>
    <row r="143" spans="1:4" x14ac:dyDescent="0.25">
      <c r="A143" s="1">
        <v>40817</v>
      </c>
      <c r="B143">
        <v>0.24</v>
      </c>
      <c r="C143">
        <v>-2.5</v>
      </c>
      <c r="D143">
        <f t="shared" si="2"/>
        <v>10</v>
      </c>
    </row>
    <row r="144" spans="1:4" x14ac:dyDescent="0.25">
      <c r="A144" s="1">
        <v>40848</v>
      </c>
      <c r="B144">
        <v>3.5</v>
      </c>
      <c r="C144">
        <v>1.41</v>
      </c>
      <c r="D144">
        <f t="shared" si="2"/>
        <v>11</v>
      </c>
    </row>
    <row r="145" spans="1:4" x14ac:dyDescent="0.25">
      <c r="A145" s="1">
        <v>40878</v>
      </c>
      <c r="B145">
        <v>2.77</v>
      </c>
      <c r="C145">
        <v>1.72</v>
      </c>
      <c r="D145">
        <f t="shared" si="2"/>
        <v>12</v>
      </c>
    </row>
    <row r="146" spans="1:4" x14ac:dyDescent="0.25">
      <c r="A146" s="1">
        <v>40909</v>
      </c>
      <c r="B146">
        <v>0.28999999999999998</v>
      </c>
      <c r="C146">
        <v>-0.56000000000000005</v>
      </c>
      <c r="D146">
        <f t="shared" si="2"/>
        <v>1</v>
      </c>
    </row>
    <row r="147" spans="1:4" x14ac:dyDescent="0.25">
      <c r="A147" s="1">
        <v>40940</v>
      </c>
      <c r="B147">
        <v>1.98</v>
      </c>
      <c r="C147">
        <v>1.29</v>
      </c>
      <c r="D147">
        <f t="shared" si="2"/>
        <v>2</v>
      </c>
    </row>
    <row r="148" spans="1:4" x14ac:dyDescent="0.25">
      <c r="A148" s="1">
        <v>40969</v>
      </c>
      <c r="B148">
        <v>2.76</v>
      </c>
      <c r="C148">
        <v>0.83</v>
      </c>
      <c r="D148">
        <f t="shared" si="2"/>
        <v>3</v>
      </c>
    </row>
    <row r="149" spans="1:4" x14ac:dyDescent="0.25">
      <c r="A149" s="1">
        <v>41000</v>
      </c>
      <c r="B149">
        <v>3.2</v>
      </c>
      <c r="C149">
        <v>0.06</v>
      </c>
      <c r="D149">
        <f t="shared" si="2"/>
        <v>4</v>
      </c>
    </row>
    <row r="150" spans="1:4" x14ac:dyDescent="0.25">
      <c r="A150" s="1">
        <v>41030</v>
      </c>
      <c r="B150">
        <v>2.96</v>
      </c>
      <c r="C150">
        <v>-0.66</v>
      </c>
      <c r="D150">
        <f t="shared" si="2"/>
        <v>5</v>
      </c>
    </row>
    <row r="151" spans="1:4" x14ac:dyDescent="0.25">
      <c r="A151" s="1">
        <v>41061</v>
      </c>
      <c r="B151">
        <v>1.92</v>
      </c>
      <c r="C151">
        <v>-1.48</v>
      </c>
      <c r="D151">
        <f t="shared" si="2"/>
        <v>6</v>
      </c>
    </row>
    <row r="152" spans="1:4" x14ac:dyDescent="0.25">
      <c r="A152" s="1">
        <v>41091</v>
      </c>
      <c r="B152">
        <v>2</v>
      </c>
      <c r="C152">
        <v>-0.67</v>
      </c>
      <c r="D152">
        <f t="shared" si="2"/>
        <v>7</v>
      </c>
    </row>
    <row r="153" spans="1:4" x14ac:dyDescent="0.25">
      <c r="A153" s="1">
        <v>41122</v>
      </c>
      <c r="B153">
        <v>3.08</v>
      </c>
      <c r="C153">
        <v>-0.1</v>
      </c>
      <c r="D153">
        <f t="shared" si="2"/>
        <v>8</v>
      </c>
    </row>
    <row r="154" spans="1:4" x14ac:dyDescent="0.25">
      <c r="A154" s="1">
        <v>41153</v>
      </c>
      <c r="B154">
        <v>0.79</v>
      </c>
      <c r="C154">
        <v>-0.98</v>
      </c>
      <c r="D154">
        <f t="shared" si="2"/>
        <v>9</v>
      </c>
    </row>
    <row r="155" spans="1:4" x14ac:dyDescent="0.25">
      <c r="A155" s="1">
        <v>41183</v>
      </c>
      <c r="B155">
        <v>1.83</v>
      </c>
      <c r="C155">
        <v>-0.34</v>
      </c>
      <c r="D155">
        <f t="shared" si="2"/>
        <v>10</v>
      </c>
    </row>
    <row r="156" spans="1:4" x14ac:dyDescent="0.25">
      <c r="A156" s="1">
        <v>41214</v>
      </c>
      <c r="B156">
        <v>1.71</v>
      </c>
      <c r="C156">
        <v>0.45</v>
      </c>
      <c r="D156">
        <f t="shared" si="2"/>
        <v>11</v>
      </c>
    </row>
    <row r="157" spans="1:4" x14ac:dyDescent="0.25">
      <c r="A157" s="1">
        <v>41244</v>
      </c>
      <c r="B157">
        <v>1.0900000000000001</v>
      </c>
      <c r="C157">
        <v>0.28999999999999998</v>
      </c>
      <c r="D157">
        <f t="shared" si="2"/>
        <v>12</v>
      </c>
    </row>
    <row r="158" spans="1:4" x14ac:dyDescent="0.25">
      <c r="A158" s="1">
        <v>41275</v>
      </c>
      <c r="B158">
        <v>1.02</v>
      </c>
      <c r="C158">
        <v>0.82</v>
      </c>
      <c r="D158">
        <f t="shared" si="2"/>
        <v>1</v>
      </c>
    </row>
    <row r="159" spans="1:4" x14ac:dyDescent="0.25">
      <c r="A159" s="1">
        <v>41306</v>
      </c>
      <c r="B159">
        <v>0.66</v>
      </c>
      <c r="C159">
        <v>0.12</v>
      </c>
      <c r="D159">
        <f t="shared" si="2"/>
        <v>2</v>
      </c>
    </row>
    <row r="160" spans="1:4" x14ac:dyDescent="0.25">
      <c r="A160" s="1">
        <v>41334</v>
      </c>
      <c r="B160">
        <v>1.2</v>
      </c>
      <c r="C160">
        <v>-0.84</v>
      </c>
      <c r="D160">
        <f t="shared" si="2"/>
        <v>3</v>
      </c>
    </row>
    <row r="161" spans="1:4" x14ac:dyDescent="0.25">
      <c r="A161" s="1">
        <v>41365</v>
      </c>
      <c r="B161">
        <v>4.26</v>
      </c>
      <c r="C161">
        <v>0.66</v>
      </c>
      <c r="D161">
        <f t="shared" si="2"/>
        <v>4</v>
      </c>
    </row>
    <row r="162" spans="1:4" x14ac:dyDescent="0.25">
      <c r="A162" s="1">
        <v>41395</v>
      </c>
      <c r="B162">
        <v>6.83</v>
      </c>
      <c r="C162">
        <v>0.83</v>
      </c>
      <c r="D162">
        <f t="shared" si="2"/>
        <v>5</v>
      </c>
    </row>
    <row r="163" spans="1:4" x14ac:dyDescent="0.25">
      <c r="A163" s="1">
        <v>41426</v>
      </c>
      <c r="B163">
        <v>3.75</v>
      </c>
      <c r="C163">
        <v>-0.43</v>
      </c>
      <c r="D163">
        <f t="shared" si="2"/>
        <v>6</v>
      </c>
    </row>
    <row r="164" spans="1:4" x14ac:dyDescent="0.25">
      <c r="A164" s="1">
        <v>41456</v>
      </c>
      <c r="B164">
        <v>0.86</v>
      </c>
      <c r="C164">
        <v>-1.72</v>
      </c>
      <c r="D164">
        <f t="shared" si="2"/>
        <v>7</v>
      </c>
    </row>
    <row r="165" spans="1:4" x14ac:dyDescent="0.25">
      <c r="A165" s="1">
        <v>41487</v>
      </c>
      <c r="B165">
        <v>0.1</v>
      </c>
      <c r="C165">
        <v>-2.83</v>
      </c>
      <c r="D165">
        <f t="shared" si="2"/>
        <v>8</v>
      </c>
    </row>
    <row r="166" spans="1:4" x14ac:dyDescent="0.25">
      <c r="A166" s="1">
        <v>41518</v>
      </c>
      <c r="B166">
        <v>3.58</v>
      </c>
      <c r="C166">
        <v>0.56000000000000005</v>
      </c>
      <c r="D166">
        <f t="shared" si="2"/>
        <v>9</v>
      </c>
    </row>
    <row r="167" spans="1:4" x14ac:dyDescent="0.25">
      <c r="A167" s="1">
        <v>41548</v>
      </c>
      <c r="B167">
        <v>3.32</v>
      </c>
      <c r="C167">
        <v>0.56000000000000005</v>
      </c>
      <c r="D167">
        <f t="shared" si="2"/>
        <v>10</v>
      </c>
    </row>
    <row r="168" spans="1:4" x14ac:dyDescent="0.25">
      <c r="A168" s="1">
        <v>41579</v>
      </c>
      <c r="B168">
        <v>1.24</v>
      </c>
      <c r="C168">
        <v>0.09</v>
      </c>
      <c r="D168">
        <f t="shared" si="2"/>
        <v>11</v>
      </c>
    </row>
    <row r="169" spans="1:4" x14ac:dyDescent="0.25">
      <c r="A169" s="1">
        <v>41609</v>
      </c>
      <c r="B169">
        <v>0.22</v>
      </c>
      <c r="C169">
        <v>-1.2</v>
      </c>
      <c r="D169">
        <f t="shared" si="2"/>
        <v>12</v>
      </c>
    </row>
    <row r="170" spans="1:4" x14ac:dyDescent="0.25">
      <c r="A170" s="1">
        <v>41640</v>
      </c>
      <c r="B170">
        <v>0.06</v>
      </c>
      <c r="C170">
        <v>-1.72</v>
      </c>
      <c r="D170">
        <f t="shared" si="2"/>
        <v>1</v>
      </c>
    </row>
    <row r="171" spans="1:4" x14ac:dyDescent="0.25">
      <c r="A171" s="1">
        <v>41671</v>
      </c>
      <c r="B171">
        <v>0.65</v>
      </c>
      <c r="C171">
        <v>0.11</v>
      </c>
      <c r="D171">
        <f t="shared" si="2"/>
        <v>2</v>
      </c>
    </row>
    <row r="172" spans="1:4" x14ac:dyDescent="0.25">
      <c r="A172" s="1">
        <v>41699</v>
      </c>
      <c r="B172">
        <v>0.74</v>
      </c>
      <c r="C172">
        <v>-1.62</v>
      </c>
      <c r="D172">
        <f t="shared" si="2"/>
        <v>3</v>
      </c>
    </row>
    <row r="173" spans="1:4" x14ac:dyDescent="0.25">
      <c r="A173" s="1">
        <v>41730</v>
      </c>
      <c r="B173">
        <v>3.06</v>
      </c>
      <c r="C173">
        <v>-0.03</v>
      </c>
      <c r="D173">
        <f t="shared" si="2"/>
        <v>4</v>
      </c>
    </row>
    <row r="174" spans="1:4" x14ac:dyDescent="0.25">
      <c r="A174" s="1">
        <v>41760</v>
      </c>
      <c r="B174">
        <v>2.71</v>
      </c>
      <c r="C174">
        <v>-0.79</v>
      </c>
      <c r="D174">
        <f t="shared" si="2"/>
        <v>5</v>
      </c>
    </row>
    <row r="175" spans="1:4" x14ac:dyDescent="0.25">
      <c r="A175" s="1">
        <v>41791</v>
      </c>
      <c r="B175">
        <v>8.84</v>
      </c>
      <c r="C175">
        <v>1.28</v>
      </c>
      <c r="D175">
        <f t="shared" si="2"/>
        <v>6</v>
      </c>
    </row>
    <row r="176" spans="1:4" x14ac:dyDescent="0.25">
      <c r="A176" s="1">
        <v>41821</v>
      </c>
      <c r="B176">
        <v>3.5</v>
      </c>
      <c r="C176">
        <v>0.19</v>
      </c>
      <c r="D176">
        <f t="shared" si="2"/>
        <v>7</v>
      </c>
    </row>
    <row r="177" spans="1:4" x14ac:dyDescent="0.25">
      <c r="A177" s="1">
        <v>41852</v>
      </c>
      <c r="B177">
        <v>9.7200000000000006</v>
      </c>
      <c r="C177">
        <v>1.58</v>
      </c>
      <c r="D177">
        <f t="shared" si="2"/>
        <v>8</v>
      </c>
    </row>
    <row r="178" spans="1:4" x14ac:dyDescent="0.25">
      <c r="A178" s="1">
        <v>41883</v>
      </c>
      <c r="B178">
        <v>5.01</v>
      </c>
      <c r="C178">
        <v>1.02</v>
      </c>
      <c r="D178">
        <f t="shared" si="2"/>
        <v>9</v>
      </c>
    </row>
    <row r="179" spans="1:4" x14ac:dyDescent="0.25">
      <c r="A179" s="1">
        <v>41913</v>
      </c>
      <c r="B179">
        <v>4.49</v>
      </c>
      <c r="C179">
        <v>1.1000000000000001</v>
      </c>
      <c r="D179">
        <f t="shared" si="2"/>
        <v>10</v>
      </c>
    </row>
    <row r="180" spans="1:4" x14ac:dyDescent="0.25">
      <c r="A180" s="1">
        <v>41944</v>
      </c>
      <c r="B180">
        <v>0.23</v>
      </c>
      <c r="C180">
        <v>-1.34</v>
      </c>
      <c r="D180">
        <f t="shared" si="2"/>
        <v>11</v>
      </c>
    </row>
    <row r="181" spans="1:4" x14ac:dyDescent="0.25">
      <c r="A181" s="1">
        <v>41974</v>
      </c>
      <c r="B181">
        <v>0.87</v>
      </c>
      <c r="C181">
        <v>0.02</v>
      </c>
      <c r="D181">
        <f t="shared" si="2"/>
        <v>12</v>
      </c>
    </row>
    <row r="182" spans="1:4" x14ac:dyDescent="0.25">
      <c r="A182" s="1">
        <v>42005</v>
      </c>
      <c r="B182">
        <v>0.52</v>
      </c>
      <c r="C182">
        <v>0.01</v>
      </c>
      <c r="D182">
        <f t="shared" si="2"/>
        <v>1</v>
      </c>
    </row>
    <row r="183" spans="1:4" x14ac:dyDescent="0.25">
      <c r="A183" s="1">
        <v>42036</v>
      </c>
      <c r="B183">
        <v>0.62</v>
      </c>
      <c r="C183">
        <v>7.0000000000000007E-2</v>
      </c>
      <c r="D183">
        <f t="shared" si="2"/>
        <v>2</v>
      </c>
    </row>
    <row r="184" spans="1:4" x14ac:dyDescent="0.25">
      <c r="A184" s="1">
        <v>42064</v>
      </c>
      <c r="B184">
        <v>0.98</v>
      </c>
      <c r="C184">
        <v>-1.18</v>
      </c>
      <c r="D184">
        <f t="shared" si="2"/>
        <v>3</v>
      </c>
    </row>
    <row r="185" spans="1:4" x14ac:dyDescent="0.25">
      <c r="A185" s="1">
        <v>42095</v>
      </c>
      <c r="B185">
        <v>1.82</v>
      </c>
      <c r="C185">
        <v>-0.97</v>
      </c>
      <c r="D185">
        <f t="shared" si="2"/>
        <v>4</v>
      </c>
    </row>
    <row r="186" spans="1:4" x14ac:dyDescent="0.25">
      <c r="A186" s="1">
        <v>42125</v>
      </c>
      <c r="B186">
        <v>6.51</v>
      </c>
      <c r="C186">
        <v>0.73</v>
      </c>
      <c r="D186">
        <f t="shared" si="2"/>
        <v>5</v>
      </c>
    </row>
    <row r="187" spans="1:4" x14ac:dyDescent="0.25">
      <c r="A187" s="1">
        <v>42156</v>
      </c>
      <c r="B187">
        <v>5.16</v>
      </c>
      <c r="C187">
        <v>0.15</v>
      </c>
      <c r="D187">
        <f t="shared" si="2"/>
        <v>6</v>
      </c>
    </row>
    <row r="188" spans="1:4" x14ac:dyDescent="0.25">
      <c r="A188" s="1">
        <v>42186</v>
      </c>
      <c r="B188">
        <v>11.41</v>
      </c>
      <c r="C188">
        <v>2.64</v>
      </c>
      <c r="D188">
        <f t="shared" si="2"/>
        <v>7</v>
      </c>
    </row>
    <row r="189" spans="1:4" x14ac:dyDescent="0.25">
      <c r="A189" s="1">
        <v>42217</v>
      </c>
      <c r="B189">
        <v>3.95</v>
      </c>
      <c r="C189">
        <v>0.21</v>
      </c>
      <c r="D189">
        <f t="shared" si="2"/>
        <v>8</v>
      </c>
    </row>
    <row r="190" spans="1:4" x14ac:dyDescent="0.25">
      <c r="A190" s="1">
        <v>42248</v>
      </c>
      <c r="B190">
        <v>3.9</v>
      </c>
      <c r="C190">
        <v>0.67</v>
      </c>
      <c r="D190">
        <f t="shared" si="2"/>
        <v>9</v>
      </c>
    </row>
    <row r="191" spans="1:4" x14ac:dyDescent="0.25">
      <c r="A191" s="1">
        <v>42278</v>
      </c>
      <c r="B191">
        <v>0.99</v>
      </c>
      <c r="C191">
        <v>-1.1200000000000001</v>
      </c>
      <c r="D191">
        <f t="shared" si="2"/>
        <v>10</v>
      </c>
    </row>
    <row r="192" spans="1:4" x14ac:dyDescent="0.25">
      <c r="A192" s="1">
        <v>42309</v>
      </c>
      <c r="B192">
        <v>4.4800000000000004</v>
      </c>
      <c r="C192">
        <v>1.81</v>
      </c>
      <c r="D192">
        <f t="shared" si="2"/>
        <v>11</v>
      </c>
    </row>
    <row r="193" spans="1:4" x14ac:dyDescent="0.25">
      <c r="A193" s="1">
        <v>42339</v>
      </c>
      <c r="B193">
        <v>2.72</v>
      </c>
      <c r="C193">
        <v>1.69</v>
      </c>
      <c r="D193">
        <f t="shared" si="2"/>
        <v>12</v>
      </c>
    </row>
    <row r="194" spans="1:4" x14ac:dyDescent="0.25">
      <c r="A194" s="1">
        <v>42370</v>
      </c>
      <c r="B194">
        <v>0.7</v>
      </c>
      <c r="C194">
        <v>0.34</v>
      </c>
      <c r="D194">
        <f t="shared" si="2"/>
        <v>1</v>
      </c>
    </row>
    <row r="195" spans="1:4" x14ac:dyDescent="0.25">
      <c r="A195" s="1">
        <v>42401</v>
      </c>
      <c r="B195">
        <v>0.69</v>
      </c>
      <c r="C195">
        <v>0.16</v>
      </c>
      <c r="D195">
        <f t="shared" ref="D195:D258" si="3">MONTH(A195)</f>
        <v>2</v>
      </c>
    </row>
    <row r="196" spans="1:4" x14ac:dyDescent="0.25">
      <c r="A196" s="1">
        <v>42430</v>
      </c>
      <c r="B196">
        <v>1.59</v>
      </c>
      <c r="C196">
        <v>-0.32</v>
      </c>
      <c r="D196">
        <f t="shared" si="3"/>
        <v>3</v>
      </c>
    </row>
    <row r="197" spans="1:4" x14ac:dyDescent="0.25">
      <c r="A197" s="1">
        <v>42461</v>
      </c>
      <c r="B197">
        <v>5.27</v>
      </c>
      <c r="C197">
        <v>1.1399999999999999</v>
      </c>
      <c r="D197">
        <f t="shared" si="3"/>
        <v>4</v>
      </c>
    </row>
    <row r="198" spans="1:4" x14ac:dyDescent="0.25">
      <c r="A198" s="1">
        <v>42491</v>
      </c>
      <c r="B198">
        <v>7.14</v>
      </c>
      <c r="C198">
        <v>0.92</v>
      </c>
      <c r="D198">
        <f t="shared" si="3"/>
        <v>5</v>
      </c>
    </row>
    <row r="199" spans="1:4" x14ac:dyDescent="0.25">
      <c r="A199" s="1">
        <v>42522</v>
      </c>
      <c r="B199">
        <v>4.9800000000000004</v>
      </c>
      <c r="C199">
        <v>0.08</v>
      </c>
      <c r="D199">
        <f t="shared" si="3"/>
        <v>6</v>
      </c>
    </row>
    <row r="200" spans="1:4" x14ac:dyDescent="0.25">
      <c r="A200" s="1">
        <v>42552</v>
      </c>
      <c r="B200">
        <v>2.99</v>
      </c>
      <c r="C200">
        <v>-7.0000000000000007E-2</v>
      </c>
      <c r="D200">
        <f t="shared" si="3"/>
        <v>7</v>
      </c>
    </row>
    <row r="201" spans="1:4" x14ac:dyDescent="0.25">
      <c r="A201" s="1">
        <v>42583</v>
      </c>
      <c r="B201">
        <v>8.01</v>
      </c>
      <c r="C201">
        <v>1.24</v>
      </c>
      <c r="D201">
        <f t="shared" si="3"/>
        <v>8</v>
      </c>
    </row>
    <row r="202" spans="1:4" x14ac:dyDescent="0.25">
      <c r="A202" s="1">
        <v>42614</v>
      </c>
      <c r="B202">
        <v>5.98</v>
      </c>
      <c r="C202">
        <v>1.28</v>
      </c>
      <c r="D202">
        <f t="shared" si="3"/>
        <v>9</v>
      </c>
    </row>
    <row r="203" spans="1:4" x14ac:dyDescent="0.25">
      <c r="A203" s="1">
        <v>42644</v>
      </c>
      <c r="B203">
        <v>1.47</v>
      </c>
      <c r="C203">
        <v>-0.64</v>
      </c>
      <c r="D203">
        <f t="shared" si="3"/>
        <v>10</v>
      </c>
    </row>
    <row r="204" spans="1:4" x14ac:dyDescent="0.25">
      <c r="A204" s="1">
        <v>42675</v>
      </c>
      <c r="B204">
        <v>0.69</v>
      </c>
      <c r="C204">
        <v>-0.48</v>
      </c>
      <c r="D204">
        <f t="shared" si="3"/>
        <v>11</v>
      </c>
    </row>
    <row r="205" spans="1:4" x14ac:dyDescent="0.25">
      <c r="A205" s="1">
        <v>42705</v>
      </c>
      <c r="B205">
        <v>1.1200000000000001</v>
      </c>
      <c r="C205">
        <v>0.33</v>
      </c>
      <c r="D205">
        <f t="shared" si="3"/>
        <v>12</v>
      </c>
    </row>
    <row r="206" spans="1:4" x14ac:dyDescent="0.25">
      <c r="A206" s="1">
        <v>42736</v>
      </c>
      <c r="B206">
        <v>1.03</v>
      </c>
      <c r="C206">
        <v>0.83</v>
      </c>
      <c r="D206">
        <f t="shared" si="3"/>
        <v>1</v>
      </c>
    </row>
    <row r="207" spans="1:4" x14ac:dyDescent="0.25">
      <c r="A207" s="1">
        <v>42767</v>
      </c>
      <c r="B207">
        <v>0.27</v>
      </c>
      <c r="C207">
        <v>-0.56000000000000005</v>
      </c>
      <c r="D207">
        <f t="shared" si="3"/>
        <v>2</v>
      </c>
    </row>
    <row r="208" spans="1:4" x14ac:dyDescent="0.25">
      <c r="A208" s="1">
        <v>42795</v>
      </c>
      <c r="B208">
        <v>2.76</v>
      </c>
      <c r="C208">
        <v>0.83</v>
      </c>
      <c r="D208">
        <f t="shared" si="3"/>
        <v>3</v>
      </c>
    </row>
    <row r="209" spans="1:4" x14ac:dyDescent="0.25">
      <c r="A209" s="1">
        <v>42826</v>
      </c>
      <c r="B209">
        <v>7.16</v>
      </c>
      <c r="C209">
        <v>1.91</v>
      </c>
      <c r="D209">
        <f t="shared" si="3"/>
        <v>4</v>
      </c>
    </row>
    <row r="210" spans="1:4" x14ac:dyDescent="0.25">
      <c r="A210" s="1">
        <v>42856</v>
      </c>
      <c r="B210">
        <v>3.26</v>
      </c>
      <c r="C210">
        <v>-0.51</v>
      </c>
      <c r="D210">
        <f t="shared" si="3"/>
        <v>5</v>
      </c>
    </row>
    <row r="211" spans="1:4" x14ac:dyDescent="0.25">
      <c r="A211" s="1">
        <v>42887</v>
      </c>
      <c r="B211">
        <v>11.46</v>
      </c>
      <c r="C211">
        <v>1.91</v>
      </c>
      <c r="D211">
        <f t="shared" si="3"/>
        <v>6</v>
      </c>
    </row>
    <row r="212" spans="1:4" x14ac:dyDescent="0.25">
      <c r="A212" s="1">
        <v>42917</v>
      </c>
      <c r="B212">
        <v>5.13</v>
      </c>
      <c r="C212">
        <v>0.87</v>
      </c>
      <c r="D212">
        <f t="shared" si="3"/>
        <v>7</v>
      </c>
    </row>
    <row r="213" spans="1:4" x14ac:dyDescent="0.25">
      <c r="A213" s="1">
        <v>42948</v>
      </c>
      <c r="B213">
        <v>2.44</v>
      </c>
      <c r="C213">
        <v>-0.37</v>
      </c>
      <c r="D213">
        <f t="shared" si="3"/>
        <v>8</v>
      </c>
    </row>
    <row r="214" spans="1:4" x14ac:dyDescent="0.25">
      <c r="A214" s="1">
        <v>42979</v>
      </c>
      <c r="B214">
        <v>0.91</v>
      </c>
      <c r="C214">
        <v>-0.87</v>
      </c>
      <c r="D214">
        <f t="shared" si="3"/>
        <v>9</v>
      </c>
    </row>
    <row r="215" spans="1:4" x14ac:dyDescent="0.25">
      <c r="A215" s="1">
        <v>43009</v>
      </c>
      <c r="B215">
        <v>5.1100000000000003</v>
      </c>
      <c r="C215">
        <v>1.35</v>
      </c>
      <c r="D215">
        <f t="shared" si="3"/>
        <v>10</v>
      </c>
    </row>
    <row r="216" spans="1:4" x14ac:dyDescent="0.25">
      <c r="A216" s="1">
        <v>43040</v>
      </c>
      <c r="B216">
        <v>0.47</v>
      </c>
      <c r="C216">
        <v>-0.81</v>
      </c>
      <c r="D216">
        <f t="shared" si="3"/>
        <v>11</v>
      </c>
    </row>
    <row r="217" spans="1:4" x14ac:dyDescent="0.25">
      <c r="A217" s="1">
        <v>43070</v>
      </c>
      <c r="B217">
        <v>0.12</v>
      </c>
      <c r="C217">
        <v>-1.48</v>
      </c>
      <c r="D217">
        <f t="shared" si="3"/>
        <v>12</v>
      </c>
    </row>
    <row r="218" spans="1:4" x14ac:dyDescent="0.25">
      <c r="A218" s="1">
        <v>43101</v>
      </c>
      <c r="B218">
        <v>0.45</v>
      </c>
      <c r="C218">
        <v>-0.14000000000000001</v>
      </c>
      <c r="D218">
        <f t="shared" si="3"/>
        <v>1</v>
      </c>
    </row>
    <row r="219" spans="1:4" x14ac:dyDescent="0.25">
      <c r="A219" s="1">
        <v>43132</v>
      </c>
      <c r="B219">
        <v>0.4</v>
      </c>
      <c r="C219">
        <v>-0.28000000000000003</v>
      </c>
      <c r="D219">
        <f t="shared" si="3"/>
        <v>2</v>
      </c>
    </row>
    <row r="220" spans="1:4" x14ac:dyDescent="0.25">
      <c r="A220" s="1">
        <v>43160</v>
      </c>
      <c r="B220">
        <v>1.43</v>
      </c>
      <c r="C220">
        <v>-0.52</v>
      </c>
      <c r="D220">
        <f t="shared" si="3"/>
        <v>3</v>
      </c>
    </row>
    <row r="221" spans="1:4" x14ac:dyDescent="0.25">
      <c r="A221" s="1">
        <v>43191</v>
      </c>
      <c r="B221">
        <v>0.53</v>
      </c>
      <c r="C221">
        <v>-2.72</v>
      </c>
      <c r="D221">
        <f t="shared" si="3"/>
        <v>4</v>
      </c>
    </row>
    <row r="222" spans="1:4" x14ac:dyDescent="0.25">
      <c r="A222" s="1">
        <v>43221</v>
      </c>
      <c r="B222">
        <v>1.55</v>
      </c>
      <c r="C222">
        <v>-1.57</v>
      </c>
      <c r="D222">
        <f t="shared" si="3"/>
        <v>5</v>
      </c>
    </row>
    <row r="223" spans="1:4" x14ac:dyDescent="0.25">
      <c r="A223" s="1">
        <v>43252</v>
      </c>
      <c r="B223">
        <v>2.61</v>
      </c>
      <c r="C223">
        <v>-1.02</v>
      </c>
      <c r="D223">
        <f t="shared" si="3"/>
        <v>6</v>
      </c>
    </row>
    <row r="224" spans="1:4" x14ac:dyDescent="0.25">
      <c r="A224" s="1">
        <v>43282</v>
      </c>
      <c r="B224">
        <v>1.21</v>
      </c>
      <c r="C224">
        <v>-1.32</v>
      </c>
      <c r="D224">
        <f t="shared" si="3"/>
        <v>7</v>
      </c>
    </row>
    <row r="225" spans="1:4" x14ac:dyDescent="0.25">
      <c r="A225" s="1">
        <v>43313</v>
      </c>
      <c r="B225">
        <v>7.46</v>
      </c>
      <c r="C225">
        <v>1.1299999999999999</v>
      </c>
      <c r="D225">
        <f t="shared" si="3"/>
        <v>8</v>
      </c>
    </row>
    <row r="226" spans="1:4" x14ac:dyDescent="0.25">
      <c r="A226" s="1">
        <v>43344</v>
      </c>
      <c r="B226">
        <v>2.3199999999999998</v>
      </c>
      <c r="C226">
        <v>0.04</v>
      </c>
      <c r="D226">
        <f t="shared" si="3"/>
        <v>9</v>
      </c>
    </row>
    <row r="227" spans="1:4" x14ac:dyDescent="0.25">
      <c r="A227" s="1">
        <v>43374</v>
      </c>
      <c r="B227">
        <v>6.98</v>
      </c>
      <c r="C227">
        <v>2</v>
      </c>
      <c r="D227">
        <f t="shared" si="3"/>
        <v>10</v>
      </c>
    </row>
    <row r="228" spans="1:4" x14ac:dyDescent="0.25">
      <c r="A228" s="1">
        <v>43405</v>
      </c>
      <c r="B228">
        <v>0.55000000000000004</v>
      </c>
      <c r="C228">
        <v>-0.68</v>
      </c>
      <c r="D228">
        <f t="shared" si="3"/>
        <v>11</v>
      </c>
    </row>
    <row r="229" spans="1:4" x14ac:dyDescent="0.25">
      <c r="A229" s="1">
        <v>43435</v>
      </c>
      <c r="B229">
        <v>2.2200000000000002</v>
      </c>
      <c r="C229">
        <v>1.34</v>
      </c>
      <c r="D229">
        <f t="shared" si="3"/>
        <v>12</v>
      </c>
    </row>
    <row r="230" spans="1:4" x14ac:dyDescent="0.25">
      <c r="A230" s="1">
        <v>43466</v>
      </c>
      <c r="B230">
        <v>0.69</v>
      </c>
      <c r="C230">
        <v>0.33</v>
      </c>
      <c r="D230">
        <f t="shared" si="3"/>
        <v>1</v>
      </c>
    </row>
    <row r="231" spans="1:4" x14ac:dyDescent="0.25">
      <c r="A231" s="1">
        <v>43497</v>
      </c>
      <c r="B231">
        <v>1.66</v>
      </c>
      <c r="C231">
        <v>1.07</v>
      </c>
      <c r="D231">
        <f t="shared" si="3"/>
        <v>2</v>
      </c>
    </row>
    <row r="232" spans="1:4" x14ac:dyDescent="0.25">
      <c r="A232" s="1">
        <v>43525</v>
      </c>
      <c r="B232">
        <v>3.73</v>
      </c>
      <c r="C232">
        <v>1.55</v>
      </c>
      <c r="D232">
        <f t="shared" si="3"/>
        <v>3</v>
      </c>
    </row>
    <row r="233" spans="1:4" x14ac:dyDescent="0.25">
      <c r="A233" s="1">
        <v>43556</v>
      </c>
      <c r="B233">
        <v>2.17</v>
      </c>
      <c r="C233">
        <v>-0.67</v>
      </c>
      <c r="D233">
        <f t="shared" si="3"/>
        <v>4</v>
      </c>
    </row>
    <row r="234" spans="1:4" x14ac:dyDescent="0.25">
      <c r="A234" s="1">
        <v>43586</v>
      </c>
      <c r="B234">
        <v>11.15</v>
      </c>
      <c r="C234">
        <v>1.93</v>
      </c>
      <c r="D234">
        <f t="shared" si="3"/>
        <v>5</v>
      </c>
    </row>
    <row r="235" spans="1:4" x14ac:dyDescent="0.25">
      <c r="A235" s="1">
        <v>43617</v>
      </c>
      <c r="B235">
        <v>4.82</v>
      </c>
      <c r="C235">
        <v>0.02</v>
      </c>
      <c r="D235">
        <f t="shared" si="3"/>
        <v>6</v>
      </c>
    </row>
    <row r="236" spans="1:4" x14ac:dyDescent="0.25">
      <c r="A236" s="1">
        <v>43647</v>
      </c>
      <c r="B236">
        <v>3.01</v>
      </c>
      <c r="C236">
        <v>-0.06</v>
      </c>
      <c r="D236">
        <f t="shared" si="3"/>
        <v>7</v>
      </c>
    </row>
    <row r="237" spans="1:4" x14ac:dyDescent="0.25">
      <c r="A237" s="1">
        <v>43678</v>
      </c>
      <c r="B237">
        <v>5.13</v>
      </c>
      <c r="C237">
        <v>0.56000000000000005</v>
      </c>
      <c r="D237">
        <f t="shared" si="3"/>
        <v>8</v>
      </c>
    </row>
    <row r="238" spans="1:4" x14ac:dyDescent="0.25">
      <c r="A238" s="1">
        <v>43709</v>
      </c>
      <c r="B238">
        <v>7.83</v>
      </c>
      <c r="C238">
        <v>1.72</v>
      </c>
      <c r="D238">
        <f t="shared" si="3"/>
        <v>9</v>
      </c>
    </row>
    <row r="239" spans="1:4" x14ac:dyDescent="0.25">
      <c r="A239" s="1">
        <v>43739</v>
      </c>
      <c r="B239">
        <v>2.2400000000000002</v>
      </c>
      <c r="C239">
        <v>-0.05</v>
      </c>
      <c r="D239">
        <f t="shared" si="3"/>
        <v>10</v>
      </c>
    </row>
    <row r="240" spans="1:4" x14ac:dyDescent="0.25">
      <c r="A240" s="1">
        <v>43770</v>
      </c>
      <c r="B240">
        <v>0.57999999999999996</v>
      </c>
      <c r="C240">
        <v>-0.63</v>
      </c>
      <c r="D240">
        <f t="shared" si="3"/>
        <v>11</v>
      </c>
    </row>
    <row r="241" spans="1:4" x14ac:dyDescent="0.25">
      <c r="A241" s="1">
        <v>43800</v>
      </c>
      <c r="B241">
        <v>1.1599999999999999</v>
      </c>
      <c r="C241">
        <v>0.37</v>
      </c>
      <c r="D241">
        <f t="shared" si="3"/>
        <v>12</v>
      </c>
    </row>
    <row r="242" spans="1:4" x14ac:dyDescent="0.25">
      <c r="A242" s="1">
        <v>43831</v>
      </c>
      <c r="B242">
        <v>1.64</v>
      </c>
      <c r="C242">
        <v>1.51</v>
      </c>
      <c r="D242">
        <f t="shared" si="3"/>
        <v>1</v>
      </c>
    </row>
    <row r="243" spans="1:4" x14ac:dyDescent="0.25">
      <c r="A243" s="1">
        <v>43862</v>
      </c>
      <c r="B243">
        <v>0.18</v>
      </c>
      <c r="C243">
        <v>-0.83</v>
      </c>
      <c r="D243">
        <f t="shared" si="3"/>
        <v>2</v>
      </c>
    </row>
    <row r="244" spans="1:4" x14ac:dyDescent="0.25">
      <c r="A244" s="1">
        <v>43891</v>
      </c>
      <c r="B244">
        <v>2.2400000000000002</v>
      </c>
      <c r="C244">
        <v>0.37</v>
      </c>
      <c r="D244">
        <f t="shared" si="3"/>
        <v>3</v>
      </c>
    </row>
    <row r="245" spans="1:4" x14ac:dyDescent="0.25">
      <c r="A245" s="1">
        <v>43922</v>
      </c>
      <c r="B245">
        <v>2.62</v>
      </c>
      <c r="C245">
        <v>-0.33</v>
      </c>
      <c r="D245">
        <f t="shared" si="3"/>
        <v>4</v>
      </c>
    </row>
    <row r="246" spans="1:4" x14ac:dyDescent="0.25">
      <c r="A246" s="1">
        <v>43952</v>
      </c>
      <c r="B246">
        <v>5.85</v>
      </c>
      <c r="C246">
        <v>0.52</v>
      </c>
      <c r="D246">
        <f t="shared" si="3"/>
        <v>5</v>
      </c>
    </row>
    <row r="247" spans="1:4" x14ac:dyDescent="0.25">
      <c r="A247" s="1">
        <v>43983</v>
      </c>
      <c r="B247">
        <v>2.87</v>
      </c>
      <c r="C247">
        <v>-0.87</v>
      </c>
      <c r="D247">
        <f t="shared" si="3"/>
        <v>6</v>
      </c>
    </row>
    <row r="248" spans="1:4" x14ac:dyDescent="0.25">
      <c r="A248" s="1">
        <v>44013</v>
      </c>
      <c r="B248">
        <v>8.65</v>
      </c>
      <c r="C248">
        <v>1.96</v>
      </c>
      <c r="D248">
        <f t="shared" si="3"/>
        <v>7</v>
      </c>
    </row>
    <row r="249" spans="1:4" x14ac:dyDescent="0.25">
      <c r="A249" s="1">
        <v>44044</v>
      </c>
      <c r="B249">
        <v>2.25</v>
      </c>
      <c r="C249">
        <v>-0.46</v>
      </c>
      <c r="D249">
        <f t="shared" si="3"/>
        <v>8</v>
      </c>
    </row>
    <row r="250" spans="1:4" x14ac:dyDescent="0.25">
      <c r="A250" s="1">
        <v>44075</v>
      </c>
      <c r="B250">
        <v>1.97</v>
      </c>
      <c r="C250">
        <v>-0.14000000000000001</v>
      </c>
      <c r="D250">
        <f t="shared" si="3"/>
        <v>9</v>
      </c>
    </row>
    <row r="251" spans="1:4" x14ac:dyDescent="0.25">
      <c r="A251" s="1">
        <v>44105</v>
      </c>
      <c r="B251">
        <v>0.75</v>
      </c>
      <c r="C251">
        <v>-1.43</v>
      </c>
      <c r="D251">
        <f t="shared" si="3"/>
        <v>10</v>
      </c>
    </row>
    <row r="252" spans="1:4" x14ac:dyDescent="0.25">
      <c r="A252" s="1">
        <v>44136</v>
      </c>
      <c r="B252">
        <v>3.12</v>
      </c>
      <c r="C252">
        <v>1.24</v>
      </c>
      <c r="D252">
        <f t="shared" si="3"/>
        <v>11</v>
      </c>
    </row>
    <row r="253" spans="1:4" x14ac:dyDescent="0.25">
      <c r="A253" s="1">
        <v>44166</v>
      </c>
      <c r="B253">
        <v>0.5</v>
      </c>
      <c r="C253">
        <v>-0.56999999999999995</v>
      </c>
      <c r="D253">
        <f t="shared" si="3"/>
        <v>12</v>
      </c>
    </row>
    <row r="254" spans="1:4" x14ac:dyDescent="0.25">
      <c r="A254" s="1">
        <v>44197</v>
      </c>
      <c r="B254">
        <v>1.45</v>
      </c>
      <c r="C254">
        <v>1.32</v>
      </c>
      <c r="D254">
        <f t="shared" si="3"/>
        <v>1</v>
      </c>
    </row>
    <row r="255" spans="1:4" x14ac:dyDescent="0.25">
      <c r="A255" s="1">
        <v>44228</v>
      </c>
      <c r="B255">
        <v>0.06</v>
      </c>
      <c r="C255">
        <v>-1.43</v>
      </c>
      <c r="D255">
        <f t="shared" si="3"/>
        <v>2</v>
      </c>
    </row>
    <row r="256" spans="1:4" x14ac:dyDescent="0.25">
      <c r="A256" s="1">
        <v>44256</v>
      </c>
      <c r="B256">
        <v>3.47</v>
      </c>
      <c r="C256">
        <v>1.37</v>
      </c>
      <c r="D256">
        <f t="shared" si="3"/>
        <v>3</v>
      </c>
    </row>
    <row r="257" spans="1:4" x14ac:dyDescent="0.25">
      <c r="A257" s="1">
        <v>44287</v>
      </c>
      <c r="B257">
        <v>2.09</v>
      </c>
      <c r="C257">
        <v>-0.74</v>
      </c>
      <c r="D257">
        <f t="shared" si="3"/>
        <v>4</v>
      </c>
    </row>
    <row r="258" spans="1:4" x14ac:dyDescent="0.25">
      <c r="A258" s="1">
        <v>44317</v>
      </c>
      <c r="B258">
        <v>3.65</v>
      </c>
      <c r="C258">
        <v>-0.32</v>
      </c>
      <c r="D258">
        <f t="shared" si="3"/>
        <v>5</v>
      </c>
    </row>
    <row r="259" spans="1:4" x14ac:dyDescent="0.25">
      <c r="A259" s="1">
        <v>44348</v>
      </c>
      <c r="B259">
        <v>5.97</v>
      </c>
      <c r="C259">
        <v>0.44</v>
      </c>
      <c r="D259">
        <f t="shared" ref="D259:D294" si="4">MONTH(A259)</f>
        <v>6</v>
      </c>
    </row>
    <row r="260" spans="1:4" x14ac:dyDescent="0.25">
      <c r="A260" s="1">
        <v>44378</v>
      </c>
      <c r="B260">
        <v>3.42</v>
      </c>
      <c r="C260">
        <v>0.15</v>
      </c>
      <c r="D260">
        <f t="shared" si="4"/>
        <v>7</v>
      </c>
    </row>
    <row r="261" spans="1:4" x14ac:dyDescent="0.25">
      <c r="A261" s="1">
        <v>44409</v>
      </c>
      <c r="B261">
        <v>2.59</v>
      </c>
      <c r="C261">
        <v>-0.3</v>
      </c>
      <c r="D261">
        <f t="shared" si="4"/>
        <v>8</v>
      </c>
    </row>
    <row r="262" spans="1:4" x14ac:dyDescent="0.25">
      <c r="A262" s="1">
        <v>44440</v>
      </c>
      <c r="B262">
        <v>0.33</v>
      </c>
      <c r="C262">
        <v>-1.63</v>
      </c>
      <c r="D262">
        <f t="shared" si="4"/>
        <v>9</v>
      </c>
    </row>
    <row r="263" spans="1:4" x14ac:dyDescent="0.25">
      <c r="A263" s="1">
        <v>44470</v>
      </c>
      <c r="B263">
        <v>4.95</v>
      </c>
      <c r="C263">
        <v>1.29</v>
      </c>
      <c r="D263">
        <f t="shared" si="4"/>
        <v>10</v>
      </c>
    </row>
    <row r="264" spans="1:4" x14ac:dyDescent="0.25">
      <c r="A264" s="1">
        <v>44501</v>
      </c>
      <c r="B264">
        <v>2.12</v>
      </c>
      <c r="C264">
        <v>0.71</v>
      </c>
      <c r="D264">
        <f t="shared" si="4"/>
        <v>11</v>
      </c>
    </row>
    <row r="265" spans="1:4" x14ac:dyDescent="0.25">
      <c r="A265" s="1">
        <v>44531</v>
      </c>
      <c r="B265">
        <v>0.37</v>
      </c>
      <c r="C265">
        <v>-0.83</v>
      </c>
      <c r="D265">
        <f t="shared" si="4"/>
        <v>12</v>
      </c>
    </row>
    <row r="266" spans="1:4" x14ac:dyDescent="0.25">
      <c r="A266" s="1">
        <v>44562</v>
      </c>
      <c r="B266">
        <v>0.62</v>
      </c>
      <c r="C266">
        <v>0.2</v>
      </c>
      <c r="D266">
        <f t="shared" si="4"/>
        <v>1</v>
      </c>
    </row>
    <row r="267" spans="1:4" x14ac:dyDescent="0.25">
      <c r="A267" s="1">
        <v>44593</v>
      </c>
      <c r="B267">
        <v>0.05</v>
      </c>
      <c r="C267">
        <v>-1.51</v>
      </c>
      <c r="D267">
        <f t="shared" si="4"/>
        <v>2</v>
      </c>
    </row>
    <row r="268" spans="1:4" x14ac:dyDescent="0.25">
      <c r="A268" s="1">
        <v>44621</v>
      </c>
      <c r="B268">
        <v>2.98</v>
      </c>
      <c r="C268">
        <v>1</v>
      </c>
      <c r="D268">
        <f t="shared" si="4"/>
        <v>3</v>
      </c>
    </row>
    <row r="269" spans="1:4" x14ac:dyDescent="0.25">
      <c r="A269" s="1">
        <v>44652</v>
      </c>
      <c r="B269">
        <v>3.4</v>
      </c>
      <c r="C269">
        <v>0.18</v>
      </c>
      <c r="D269">
        <f t="shared" si="4"/>
        <v>4</v>
      </c>
    </row>
    <row r="270" spans="1:4" x14ac:dyDescent="0.25">
      <c r="A270" s="1">
        <v>44682</v>
      </c>
      <c r="B270">
        <v>6.83</v>
      </c>
      <c r="C270">
        <v>0.83</v>
      </c>
      <c r="D270">
        <f t="shared" si="4"/>
        <v>5</v>
      </c>
    </row>
    <row r="271" spans="1:4" x14ac:dyDescent="0.25">
      <c r="A271" s="1">
        <v>44713</v>
      </c>
      <c r="B271">
        <v>4.55</v>
      </c>
      <c r="C271">
        <v>-0.08</v>
      </c>
      <c r="D271">
        <f t="shared" si="4"/>
        <v>6</v>
      </c>
    </row>
    <row r="272" spans="1:4" x14ac:dyDescent="0.25">
      <c r="A272" s="1">
        <v>44743</v>
      </c>
      <c r="B272">
        <v>3.38</v>
      </c>
      <c r="C272">
        <v>0.13</v>
      </c>
      <c r="D272">
        <f t="shared" si="4"/>
        <v>7</v>
      </c>
    </row>
    <row r="273" spans="1:4" x14ac:dyDescent="0.25">
      <c r="A273" s="1">
        <v>44774</v>
      </c>
      <c r="B273">
        <v>3.19</v>
      </c>
      <c r="C273">
        <v>-0.06</v>
      </c>
      <c r="D273">
        <f t="shared" si="4"/>
        <v>8</v>
      </c>
    </row>
    <row r="274" spans="1:4" x14ac:dyDescent="0.25">
      <c r="A274" s="1">
        <v>44805</v>
      </c>
      <c r="B274">
        <v>0.84</v>
      </c>
      <c r="C274">
        <v>-0.93</v>
      </c>
      <c r="D274">
        <f t="shared" si="4"/>
        <v>9</v>
      </c>
    </row>
    <row r="275" spans="1:4" x14ac:dyDescent="0.25">
      <c r="A275" s="1">
        <v>44835</v>
      </c>
      <c r="B275">
        <v>1.29</v>
      </c>
      <c r="C275">
        <v>-0.8</v>
      </c>
      <c r="D275">
        <f t="shared" si="4"/>
        <v>10</v>
      </c>
    </row>
    <row r="276" spans="1:4" x14ac:dyDescent="0.25">
      <c r="A276" s="1">
        <v>44866</v>
      </c>
      <c r="B276">
        <v>3.1</v>
      </c>
      <c r="C276">
        <v>1.23</v>
      </c>
      <c r="D276">
        <f t="shared" si="4"/>
        <v>11</v>
      </c>
    </row>
    <row r="277" spans="1:4" x14ac:dyDescent="0.25">
      <c r="A277" s="1">
        <v>44896</v>
      </c>
      <c r="B277">
        <v>0.98</v>
      </c>
      <c r="C277">
        <v>0.16</v>
      </c>
      <c r="D277">
        <f t="shared" si="4"/>
        <v>12</v>
      </c>
    </row>
    <row r="278" spans="1:4" x14ac:dyDescent="0.25">
      <c r="A278" s="1">
        <v>44927</v>
      </c>
      <c r="B278">
        <v>1.06</v>
      </c>
      <c r="C278">
        <v>0.87</v>
      </c>
      <c r="D278">
        <f t="shared" si="4"/>
        <v>1</v>
      </c>
    </row>
    <row r="279" spans="1:4" x14ac:dyDescent="0.25">
      <c r="A279" s="1">
        <v>44958</v>
      </c>
      <c r="B279">
        <v>2.35</v>
      </c>
      <c r="C279">
        <v>1.52</v>
      </c>
      <c r="D279">
        <f t="shared" si="4"/>
        <v>2</v>
      </c>
    </row>
    <row r="280" spans="1:4" x14ac:dyDescent="0.25">
      <c r="A280" s="1">
        <v>44986</v>
      </c>
      <c r="B280">
        <v>1.43</v>
      </c>
      <c r="C280">
        <v>-0.52</v>
      </c>
      <c r="D280">
        <f t="shared" si="4"/>
        <v>3</v>
      </c>
    </row>
    <row r="281" spans="1:4" x14ac:dyDescent="0.25">
      <c r="A281" s="1">
        <v>45017</v>
      </c>
      <c r="B281">
        <v>1.77</v>
      </c>
      <c r="C281">
        <v>-1.02</v>
      </c>
      <c r="D281">
        <f t="shared" si="4"/>
        <v>4</v>
      </c>
    </row>
    <row r="282" spans="1:4" x14ac:dyDescent="0.25">
      <c r="A282" s="1">
        <v>45047</v>
      </c>
      <c r="B282">
        <v>3.15</v>
      </c>
      <c r="C282">
        <v>-0.56000000000000005</v>
      </c>
      <c r="D282">
        <f t="shared" si="4"/>
        <v>5</v>
      </c>
    </row>
    <row r="283" spans="1:4" x14ac:dyDescent="0.25">
      <c r="A283" s="1">
        <v>45078</v>
      </c>
      <c r="B283">
        <v>4.5</v>
      </c>
      <c r="C283">
        <v>-0.11</v>
      </c>
      <c r="D283">
        <f t="shared" si="4"/>
        <v>6</v>
      </c>
    </row>
    <row r="284" spans="1:4" x14ac:dyDescent="0.25">
      <c r="A284" s="1">
        <v>45108</v>
      </c>
      <c r="B284">
        <v>4.37</v>
      </c>
      <c r="C284">
        <v>0.56999999999999995</v>
      </c>
      <c r="D284">
        <f t="shared" si="4"/>
        <v>7</v>
      </c>
    </row>
    <row r="285" spans="1:4" x14ac:dyDescent="0.25">
      <c r="A285" s="1">
        <v>45139</v>
      </c>
      <c r="B285">
        <v>7.1</v>
      </c>
      <c r="C285">
        <v>1.05</v>
      </c>
      <c r="D285">
        <f t="shared" si="4"/>
        <v>8</v>
      </c>
    </row>
    <row r="286" spans="1:4" x14ac:dyDescent="0.25">
      <c r="A286" s="1">
        <v>45170</v>
      </c>
      <c r="B286">
        <v>0.33</v>
      </c>
      <c r="C286">
        <v>-1.63</v>
      </c>
      <c r="D286">
        <f t="shared" si="4"/>
        <v>9</v>
      </c>
    </row>
    <row r="287" spans="1:4" x14ac:dyDescent="0.25">
      <c r="A287" s="1">
        <v>45200</v>
      </c>
      <c r="B287">
        <v>2.0299999999999998</v>
      </c>
      <c r="C287">
        <v>-0.2</v>
      </c>
      <c r="D287">
        <f t="shared" si="4"/>
        <v>10</v>
      </c>
    </row>
    <row r="288" spans="1:4" x14ac:dyDescent="0.25">
      <c r="A288" s="1">
        <v>45231</v>
      </c>
      <c r="B288">
        <v>0.6</v>
      </c>
      <c r="C288">
        <v>-0.61</v>
      </c>
      <c r="D288">
        <f t="shared" si="4"/>
        <v>11</v>
      </c>
    </row>
    <row r="289" spans="1:4" x14ac:dyDescent="0.25">
      <c r="A289" s="1">
        <v>45261</v>
      </c>
      <c r="B289">
        <v>2.27</v>
      </c>
      <c r="C289">
        <v>1.37</v>
      </c>
      <c r="D289">
        <f t="shared" si="4"/>
        <v>12</v>
      </c>
    </row>
    <row r="290" spans="1:4" x14ac:dyDescent="0.25">
      <c r="A290" s="1">
        <v>45292</v>
      </c>
      <c r="B290">
        <v>0.87</v>
      </c>
      <c r="C290">
        <v>0.61</v>
      </c>
      <c r="D290">
        <f t="shared" si="4"/>
        <v>1</v>
      </c>
    </row>
    <row r="291" spans="1:4" x14ac:dyDescent="0.25">
      <c r="A291" s="1">
        <v>45323</v>
      </c>
      <c r="B291">
        <v>0.1</v>
      </c>
      <c r="C291">
        <v>-1.1599999999999999</v>
      </c>
      <c r="D291">
        <f t="shared" si="4"/>
        <v>2</v>
      </c>
    </row>
    <row r="292" spans="1:4" x14ac:dyDescent="0.25">
      <c r="A292" s="1">
        <v>45352</v>
      </c>
      <c r="B292">
        <v>1.42</v>
      </c>
      <c r="C292">
        <v>-0.54</v>
      </c>
      <c r="D292">
        <f t="shared" si="4"/>
        <v>3</v>
      </c>
    </row>
    <row r="293" spans="1:4" x14ac:dyDescent="0.25">
      <c r="A293" s="1">
        <v>45383</v>
      </c>
      <c r="B293">
        <v>3.34</v>
      </c>
      <c r="C293">
        <v>0.14000000000000001</v>
      </c>
      <c r="D293">
        <f t="shared" si="4"/>
        <v>4</v>
      </c>
    </row>
    <row r="294" spans="1:4" x14ac:dyDescent="0.25">
      <c r="A294" s="1">
        <v>45413</v>
      </c>
      <c r="B294">
        <v>6.15</v>
      </c>
      <c r="C294">
        <v>0.62</v>
      </c>
      <c r="D294">
        <f t="shared" si="4"/>
        <v>5</v>
      </c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1M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Schwent</dc:creator>
  <cp:lastModifiedBy>Schwent, Thomas (MU-Student)</cp:lastModifiedBy>
  <dcterms:created xsi:type="dcterms:W3CDTF">2015-06-05T18:17:20Z</dcterms:created>
  <dcterms:modified xsi:type="dcterms:W3CDTF">2025-02-19T23:06:52Z</dcterms:modified>
</cp:coreProperties>
</file>